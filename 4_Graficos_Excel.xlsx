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harts/chart4.xml" ContentType="application/vnd.openxmlformats-officedocument.drawingml.chart+xml"/>
  <Override PartName="/xl/drawings/drawing7.xml" ContentType="application/vnd.openxmlformats-officedocument.drawingml.chartshapes+xml"/>
  <Override PartName="/xl/charts/chart5.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6.xml" ContentType="application/vnd.openxmlformats-officedocument.drawingml.chart+xml"/>
  <Override PartName="/xl/drawings/drawing10.xml" ContentType="application/vnd.openxmlformats-officedocument.drawingml.chartshapes+xml"/>
  <Override PartName="/xl/charts/chart7.xml" ContentType="application/vnd.openxmlformats-officedocument.drawingml.chart+xml"/>
  <Override PartName="/xl/drawings/drawing11.xml" ContentType="application/vnd.openxmlformats-officedocument.drawingml.chartshapes+xml"/>
  <Override PartName="/xl/charts/chart8.xml" ContentType="application/vnd.openxmlformats-officedocument.drawingml.chart+xml"/>
  <Override PartName="/xl/drawings/drawing12.xml" ContentType="application/vnd.openxmlformats-officedocument.drawingml.chartshapes+xml"/>
  <Override PartName="/xl/charts/chart9.xml" ContentType="application/vnd.openxmlformats-officedocument.drawingml.chart+xml"/>
  <Override PartName="/xl/drawings/drawing13.xml" ContentType="application/vnd.openxmlformats-officedocument.drawingml.chartshapes+xml"/>
  <Override PartName="/xl/charts/chart10.xml" ContentType="application/vnd.openxmlformats-officedocument.drawingml.chart+xml"/>
  <Override PartName="/xl/drawings/drawing14.xml" ContentType="application/vnd.openxmlformats-officedocument.drawingml.chartshapes+xml"/>
  <Override PartName="/xl/charts/chart11.xml" ContentType="application/vnd.openxmlformats-officedocument.drawingml.chart+xml"/>
  <Override PartName="/xl/drawings/drawing15.xml" ContentType="application/vnd.openxmlformats-officedocument.drawingml.chartshapes+xml"/>
  <Override PartName="/xl/charts/chart12.xml" ContentType="application/vnd.openxmlformats-officedocument.drawingml.chart+xml"/>
  <Override PartName="/xl/drawings/drawing16.xml" ContentType="application/vnd.openxmlformats-officedocument.drawingml.chartshapes+xml"/>
  <Override PartName="/xl/charts/chart13.xml" ContentType="application/vnd.openxmlformats-officedocument.drawingml.chart+xml"/>
  <Override PartName="/xl/drawings/drawing17.xml" ContentType="application/vnd.openxmlformats-officedocument.drawingml.chartshapes+xml"/>
  <Override PartName="/xl/charts/chart14.xml" ContentType="application/vnd.openxmlformats-officedocument.drawingml.chart+xml"/>
  <Override PartName="/xl/drawings/drawing18.xml" ContentType="application/vnd.openxmlformats-officedocument.drawingml.chartshapes+xml"/>
  <Override PartName="/xl/charts/chart15.xml" ContentType="application/vnd.openxmlformats-officedocument.drawingml.chart+xml"/>
  <Override PartName="/xl/drawings/drawing19.xml" ContentType="application/vnd.openxmlformats-officedocument.drawingml.chartshapes+xml"/>
  <Override PartName="/xl/charts/chart16.xml" ContentType="application/vnd.openxmlformats-officedocument.drawingml.chart+xml"/>
  <Override PartName="/xl/drawings/drawing20.xml" ContentType="application/vnd.openxmlformats-officedocument.drawingml.chartshapes+xml"/>
  <Override PartName="/xl/charts/chart17.xml" ContentType="application/vnd.openxmlformats-officedocument.drawingml.chart+xml"/>
  <Override PartName="/xl/drawings/drawing21.xml" ContentType="application/vnd.openxmlformats-officedocument.drawingml.chartshapes+xml"/>
  <Override PartName="/xl/charts/chart18.xml" ContentType="application/vnd.openxmlformats-officedocument.drawingml.chart+xml"/>
  <Override PartName="/xl/drawings/drawing22.xml" ContentType="application/vnd.openxmlformats-officedocument.drawingml.chartshapes+xml"/>
  <Override PartName="/xl/charts/chart19.xml" ContentType="application/vnd.openxmlformats-officedocument.drawingml.chart+xml"/>
  <Override PartName="/xl/drawings/drawing23.xml" ContentType="application/vnd.openxmlformats-officedocument.drawingml.chartshapes+xml"/>
  <Override PartName="/xl/charts/chart20.xml" ContentType="application/vnd.openxmlformats-officedocument.drawingml.chart+xml"/>
  <Override PartName="/xl/drawings/drawing24.xml" ContentType="application/vnd.openxmlformats-officedocument.drawingml.chartshapes+xml"/>
  <Override PartName="/xl/charts/chart21.xml" ContentType="application/vnd.openxmlformats-officedocument.drawingml.chart+xml"/>
  <Override PartName="/xl/drawings/drawing25.xml" ContentType="application/vnd.openxmlformats-officedocument.drawingml.chartshapes+xml"/>
  <Override PartName="/xl/charts/chart22.xml" ContentType="application/vnd.openxmlformats-officedocument.drawingml.chart+xml"/>
  <Override PartName="/xl/drawings/drawing26.xml" ContentType="application/vnd.openxmlformats-officedocument.drawingml.chartshapes+xml"/>
  <Override PartName="/xl/charts/chart23.xml" ContentType="application/vnd.openxmlformats-officedocument.drawingml.chart+xml"/>
  <Override PartName="/xl/drawings/drawing27.xml" ContentType="application/vnd.openxmlformats-officedocument.drawingml.chartshapes+xml"/>
  <Override PartName="/xl/charts/chart24.xml" ContentType="application/vnd.openxmlformats-officedocument.drawingml.chart+xml"/>
  <Override PartName="/xl/drawings/drawing28.xml" ContentType="application/vnd.openxmlformats-officedocument.drawingml.chartshapes+xml"/>
  <Override PartName="/xl/charts/chart25.xml" ContentType="application/vnd.openxmlformats-officedocument.drawingml.chart+xml"/>
  <Override PartName="/xl/drawings/drawing29.xml" ContentType="application/vnd.openxmlformats-officedocument.drawingml.chartshapes+xml"/>
  <Override PartName="/xl/charts/chart26.xml" ContentType="application/vnd.openxmlformats-officedocument.drawingml.chart+xml"/>
  <Override PartName="/xl/drawings/drawing30.xml" ContentType="application/vnd.openxmlformats-officedocument.drawingml.chartshapes+xml"/>
  <Override PartName="/xl/charts/chart27.xml" ContentType="application/vnd.openxmlformats-officedocument.drawingml.chart+xml"/>
  <Override PartName="/xl/drawings/drawing31.xml" ContentType="application/vnd.openxmlformats-officedocument.drawingml.chartshapes+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harts/chart28.xml" ContentType="application/vnd.openxmlformats-officedocument.drawingml.chart+xml"/>
  <Override PartName="/xl/drawings/drawing35.xml" ContentType="application/vnd.openxmlformats-officedocument.drawingml.chartshapes+xml"/>
  <Override PartName="/xl/charts/chart29.xml" ContentType="application/vnd.openxmlformats-officedocument.drawingml.chart+xml"/>
  <Override PartName="/xl/drawings/drawing36.xml" ContentType="application/vnd.openxmlformats-officedocument.drawingml.chartshapes+xml"/>
  <Override PartName="/xl/charts/chart30.xml" ContentType="application/vnd.openxmlformats-officedocument.drawingml.chart+xml"/>
  <Override PartName="/xl/drawings/drawing37.xml" ContentType="application/vnd.openxmlformats-officedocument.drawingml.chartshapes+xml"/>
  <Override PartName="/xl/charts/chart31.xml" ContentType="application/vnd.openxmlformats-officedocument.drawingml.chart+xml"/>
  <Override PartName="/xl/drawings/drawing38.xml" ContentType="application/vnd.openxmlformats-officedocument.drawingml.chartshapes+xml"/>
  <Override PartName="/xl/charts/chart32.xml" ContentType="application/vnd.openxmlformats-officedocument.drawingml.chart+xml"/>
  <Override PartName="/xl/drawings/drawing39.xml" ContentType="application/vnd.openxmlformats-officedocument.drawingml.chartshapes+xml"/>
  <Override PartName="/xl/charts/chart33.xml" ContentType="application/vnd.openxmlformats-officedocument.drawingml.chart+xml"/>
  <Override PartName="/xl/drawings/drawing40.xml" ContentType="application/vnd.openxmlformats-officedocument.drawingml.chartshapes+xml"/>
  <Override PartName="/xl/charts/chart34.xml" ContentType="application/vnd.openxmlformats-officedocument.drawingml.chart+xml"/>
  <Override PartName="/xl/drawings/drawing41.xml" ContentType="application/vnd.openxmlformats-officedocument.drawingml.chartshapes+xml"/>
  <Override PartName="/xl/charts/chart35.xml" ContentType="application/vnd.openxmlformats-officedocument.drawingml.chart+xml"/>
  <Override PartName="/xl/drawings/drawing42.xml" ContentType="application/vnd.openxmlformats-officedocument.drawingml.chartshapes+xml"/>
  <Override PartName="/xl/charts/chart36.xml" ContentType="application/vnd.openxmlformats-officedocument.drawingml.chart+xml"/>
  <Override PartName="/xl/drawings/drawing43.xml" ContentType="application/vnd.openxmlformats-officedocument.drawingml.chartshapes+xml"/>
  <Override PartName="/xl/charts/chart37.xml" ContentType="application/vnd.openxmlformats-officedocument.drawingml.chart+xml"/>
  <Override PartName="/xl/drawings/drawing44.xml" ContentType="application/vnd.openxmlformats-officedocument.drawingml.chartshapes+xml"/>
  <Override PartName="/xl/charts/chart38.xml" ContentType="application/vnd.openxmlformats-officedocument.drawingml.chart+xml"/>
  <Override PartName="/xl/drawings/drawing45.xml" ContentType="application/vnd.openxmlformats-officedocument.drawingml.chartshapes+xml"/>
  <Override PartName="/xl/charts/chart39.xml" ContentType="application/vnd.openxmlformats-officedocument.drawingml.chart+xml"/>
  <Override PartName="/xl/drawings/drawing46.xml" ContentType="application/vnd.openxmlformats-officedocument.drawingml.chartshapes+xml"/>
  <Override PartName="/xl/charts/chart40.xml" ContentType="application/vnd.openxmlformats-officedocument.drawingml.chart+xml"/>
  <Override PartName="/xl/drawings/drawing47.xml" ContentType="application/vnd.openxmlformats-officedocument.drawingml.chartshapes+xml"/>
  <Override PartName="/xl/charts/chart41.xml" ContentType="application/vnd.openxmlformats-officedocument.drawingml.chart+xml"/>
  <Override PartName="/xl/drawings/drawing48.xml" ContentType="application/vnd.openxmlformats-officedocument.drawingml.chartshapes+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harts/chart42.xml" ContentType="application/vnd.openxmlformats-officedocument.drawingml.chart+xml"/>
  <Override PartName="/xl/drawings/drawing52.xml" ContentType="application/vnd.openxmlformats-officedocument.drawingml.chartshapes+xml"/>
  <Override PartName="/xl/charts/chart43.xml" ContentType="application/vnd.openxmlformats-officedocument.drawingml.chart+xml"/>
  <Override PartName="/xl/drawings/drawing53.xml" ContentType="application/vnd.openxmlformats-officedocument.drawingml.chartshapes+xml"/>
  <Override PartName="/xl/charts/chart44.xml" ContentType="application/vnd.openxmlformats-officedocument.drawingml.chart+xml"/>
  <Override PartName="/xl/drawings/drawing54.xml" ContentType="application/vnd.openxmlformats-officedocument.drawingml.chartshapes+xml"/>
  <Override PartName="/xl/charts/chart45.xml" ContentType="application/vnd.openxmlformats-officedocument.drawingml.chart+xml"/>
  <Override PartName="/xl/drawings/drawing55.xml" ContentType="application/vnd.openxmlformats-officedocument.drawingml.chartshapes+xml"/>
  <Override PartName="/xl/charts/chart46.xml" ContentType="application/vnd.openxmlformats-officedocument.drawingml.chart+xml"/>
  <Override PartName="/xl/drawings/drawing56.xml" ContentType="application/vnd.openxmlformats-officedocument.drawingml.chartshapes+xml"/>
  <Override PartName="/xl/charts/chart47.xml" ContentType="application/vnd.openxmlformats-officedocument.drawingml.chart+xml"/>
  <Override PartName="/xl/drawings/drawing57.xml" ContentType="application/vnd.openxmlformats-officedocument.drawingml.chartshapes+xml"/>
  <Override PartName="/xl/charts/chart48.xml" ContentType="application/vnd.openxmlformats-officedocument.drawingml.chart+xml"/>
  <Override PartName="/xl/drawings/drawing58.xml" ContentType="application/vnd.openxmlformats-officedocument.drawingml.chartshapes+xml"/>
  <Override PartName="/xl/charts/chart49.xml" ContentType="application/vnd.openxmlformats-officedocument.drawingml.chart+xml"/>
  <Override PartName="/xl/drawings/drawing59.xml" ContentType="application/vnd.openxmlformats-officedocument.drawingml.chartshapes+xml"/>
  <Override PartName="/xl/charts/chart50.xml" ContentType="application/vnd.openxmlformats-officedocument.drawingml.chart+xml"/>
  <Override PartName="/xl/drawings/drawing60.xml" ContentType="application/vnd.openxmlformats-officedocument.drawingml.chartshapes+xml"/>
  <Override PartName="/xl/charts/chart51.xml" ContentType="application/vnd.openxmlformats-officedocument.drawingml.chart+xml"/>
  <Override PartName="/xl/drawings/drawing61.xml" ContentType="application/vnd.openxmlformats-officedocument.drawingml.chartshapes+xml"/>
  <Override PartName="/xl/charts/chart52.xml" ContentType="application/vnd.openxmlformats-officedocument.drawingml.chart+xml"/>
  <Override PartName="/xl/drawings/drawing62.xml" ContentType="application/vnd.openxmlformats-officedocument.drawingml.chartshapes+xml"/>
  <Override PartName="/xl/charts/chart53.xml" ContentType="application/vnd.openxmlformats-officedocument.drawingml.chart+xml"/>
  <Override PartName="/xl/drawings/drawing63.xml" ContentType="application/vnd.openxmlformats-officedocument.drawingml.chartshapes+xml"/>
  <Override PartName="/xl/charts/chart54.xml" ContentType="application/vnd.openxmlformats-officedocument.drawingml.chart+xml"/>
  <Override PartName="/xl/drawings/drawing64.xml" ContentType="application/vnd.openxmlformats-officedocument.drawingml.chartshapes+xml"/>
  <Override PartName="/xl/charts/chart55.xml" ContentType="application/vnd.openxmlformats-officedocument.drawingml.chart+xml"/>
  <Override PartName="/xl/drawings/drawing65.xml" ContentType="application/vnd.openxmlformats-officedocument.drawingml.chartshapes+xml"/>
  <Override PartName="/xl/charts/chart56.xml" ContentType="application/vnd.openxmlformats-officedocument.drawingml.chart+xml"/>
  <Override PartName="/xl/drawings/drawing66.xml" ContentType="application/vnd.openxmlformats-officedocument.drawingml.chartshapes+xml"/>
  <Override PartName="/xl/charts/chart57.xml" ContentType="application/vnd.openxmlformats-officedocument.drawingml.chart+xml"/>
  <Override PartName="/xl/drawings/drawing67.xml" ContentType="application/vnd.openxmlformats-officedocument.drawingml.chartshapes+xml"/>
  <Override PartName="/xl/charts/chart58.xml" ContentType="application/vnd.openxmlformats-officedocument.drawingml.chart+xml"/>
  <Override PartName="/xl/drawings/drawing68.xml" ContentType="application/vnd.openxmlformats-officedocument.drawingml.chartshapes+xml"/>
  <Override PartName="/xl/charts/chart59.xml" ContentType="application/vnd.openxmlformats-officedocument.drawingml.chart+xml"/>
  <Override PartName="/xl/drawings/drawing69.xml" ContentType="application/vnd.openxmlformats-officedocument.drawingml.chartshapes+xml"/>
  <Override PartName="/xl/charts/chart60.xml" ContentType="application/vnd.openxmlformats-officedocument.drawingml.chart+xml"/>
  <Override PartName="/xl/drawings/drawing70.xml" ContentType="application/vnd.openxmlformats-officedocument.drawingml.chartshapes+xml"/>
  <Override PartName="/xl/charts/chart61.xml" ContentType="application/vnd.openxmlformats-officedocument.drawingml.chart+xml"/>
  <Override PartName="/xl/drawings/drawing71.xml" ContentType="application/vnd.openxmlformats-officedocument.drawingml.chartshapes+xml"/>
  <Override PartName="/xl/charts/chart62.xml" ContentType="application/vnd.openxmlformats-officedocument.drawingml.chart+xml"/>
  <Override PartName="/xl/charts/chart63.xml" ContentType="application/vnd.openxmlformats-officedocument.drawingml.chart+xml"/>
  <Override PartName="/xl/drawings/drawing72.xml" ContentType="application/vnd.openxmlformats-officedocument.drawingml.chartshapes+xml"/>
  <Override PartName="/xl/drawings/drawing73.xml" ContentType="application/vnd.openxmlformats-officedocument.drawing+xml"/>
  <Override PartName="/xl/charts/chart64.xml" ContentType="application/vnd.openxmlformats-officedocument.drawingml.chart+xml"/>
  <Override PartName="/xl/drawings/drawing74.xml" ContentType="application/vnd.openxmlformats-officedocument.drawingml.chartshapes+xml"/>
  <Override PartName="/xl/charts/chart65.xml" ContentType="application/vnd.openxmlformats-officedocument.drawingml.chart+xml"/>
  <Override PartName="/xl/drawings/drawing75.xml" ContentType="application/vnd.openxmlformats-officedocument.drawingml.chartshapes+xml"/>
  <Override PartName="/xl/charts/chart66.xml" ContentType="application/vnd.openxmlformats-officedocument.drawingml.chart+xml"/>
  <Override PartName="/xl/drawings/drawing76.xml" ContentType="application/vnd.openxmlformats-officedocument.drawingml.chartshapes+xml"/>
  <Override PartName="/xl/charts/chart67.xml" ContentType="application/vnd.openxmlformats-officedocument.drawingml.chart+xml"/>
  <Override PartName="/xl/drawings/drawing77.xml" ContentType="application/vnd.openxmlformats-officedocument.drawingml.chartshapes+xml"/>
  <Override PartName="/xl/charts/chart68.xml" ContentType="application/vnd.openxmlformats-officedocument.drawingml.chart+xml"/>
  <Override PartName="/xl/drawings/drawing78.xml" ContentType="application/vnd.openxmlformats-officedocument.drawingml.chartshapes+xml"/>
  <Override PartName="/xl/charts/chart69.xml" ContentType="application/vnd.openxmlformats-officedocument.drawingml.chart+xml"/>
  <Override PartName="/xl/drawings/drawing79.xml" ContentType="application/vnd.openxmlformats-officedocument.drawingml.chartshapes+xml"/>
  <Override PartName="/xl/charts/chart70.xml" ContentType="application/vnd.openxmlformats-officedocument.drawingml.chart+xml"/>
  <Override PartName="/xl/drawings/drawing80.xml" ContentType="application/vnd.openxmlformats-officedocument.drawingml.chartshapes+xml"/>
  <Override PartName="/xl/charts/chart71.xml" ContentType="application/vnd.openxmlformats-officedocument.drawingml.chart+xml"/>
  <Override PartName="/xl/drawings/drawing81.xml" ContentType="application/vnd.openxmlformats-officedocument.drawingml.chartshapes+xml"/>
  <Override PartName="/xl/charts/chart72.xml" ContentType="application/vnd.openxmlformats-officedocument.drawingml.chart+xml"/>
  <Override PartName="/xl/drawings/drawing82.xml" ContentType="application/vnd.openxmlformats-officedocument.drawingml.chartshapes+xml"/>
  <Override PartName="/xl/drawings/drawing8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725"/>
  <workbookPr autoCompressPictures="0"/>
  <bookViews>
    <workbookView xWindow="480" yWindow="420" windowWidth="19880" windowHeight="6700" tabRatio="848" firstSheet="3" activeTab="12"/>
  </bookViews>
  <sheets>
    <sheet name="CERC" sheetId="1" r:id="rId1"/>
    <sheet name="CEP" sheetId="2" r:id="rId2"/>
    <sheet name="UDP" sheetId="3" r:id="rId3"/>
    <sheet name="TABLAS" sheetId="4" r:id="rId4"/>
    <sheet name="LAPOP1" sheetId="5" r:id="rId5"/>
    <sheet name="ACP lapop" sheetId="13" r:id="rId6"/>
    <sheet name="Alfa lapop" sheetId="14" r:id="rId7"/>
    <sheet name="Probabilidades" sheetId="12" r:id="rId8"/>
    <sheet name="UDP2" sheetId="7" r:id="rId9"/>
    <sheet name="ACP udp" sheetId="15" r:id="rId10"/>
    <sheet name="Alfa udp" sheetId="16" r:id="rId11"/>
    <sheet name="Probabilidades 2" sheetId="18" r:id="rId12"/>
    <sheet name="LAPOP2" sheetId="6" r:id="rId13"/>
    <sheet name="CEP2" sheetId="8" r:id="rId14"/>
    <sheet name="Probabilidades 3" sheetId="19" r:id="rId15"/>
    <sheet name="Residuos" sheetId="17" r:id="rId16"/>
  </sheets>
  <externalReferences>
    <externalReference r:id="rId17"/>
  </externalReferenc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AN11" i="5" l="1"/>
  <c r="AQ48" i="5"/>
  <c r="AP49" i="5"/>
  <c r="AO49" i="5"/>
  <c r="AN49" i="5"/>
  <c r="BM61" i="6"/>
  <c r="BM66" i="6"/>
  <c r="BN61" i="6"/>
  <c r="BN66" i="6"/>
  <c r="BO61" i="6"/>
  <c r="BO66" i="6"/>
  <c r="BO65" i="6"/>
  <c r="BN65" i="6"/>
  <c r="BM65" i="6"/>
  <c r="BP61" i="6"/>
  <c r="BO58" i="6"/>
  <c r="BN58" i="6"/>
  <c r="BM58" i="6"/>
  <c r="BM29" i="6"/>
  <c r="BM35" i="6"/>
  <c r="BN29" i="6"/>
  <c r="BN35" i="6"/>
  <c r="BO29" i="6"/>
  <c r="BO35" i="6"/>
  <c r="BO34" i="6"/>
  <c r="BN34" i="6"/>
  <c r="BM34" i="6"/>
  <c r="BP29" i="6"/>
  <c r="BO26" i="6"/>
  <c r="BN26" i="6"/>
  <c r="BM26" i="6"/>
  <c r="BG79" i="5"/>
  <c r="BG83" i="5"/>
  <c r="BH79" i="5"/>
  <c r="BH83" i="5"/>
  <c r="BI79" i="5"/>
  <c r="BI83" i="5"/>
  <c r="BG84" i="5"/>
  <c r="BH84" i="5"/>
  <c r="BI84" i="5"/>
  <c r="BG85" i="5"/>
  <c r="BH85" i="5"/>
  <c r="BI85" i="5"/>
  <c r="BG86" i="5"/>
  <c r="BH86" i="5"/>
  <c r="BI86" i="5"/>
  <c r="BI82" i="5"/>
  <c r="BH82" i="5"/>
  <c r="BG82" i="5"/>
  <c r="BJ79" i="5"/>
  <c r="BH73" i="5"/>
  <c r="BI73" i="5"/>
  <c r="BG73" i="5"/>
  <c r="BG42" i="5"/>
  <c r="BG46" i="5"/>
  <c r="BH42" i="5"/>
  <c r="BH46" i="5"/>
  <c r="BI42" i="5"/>
  <c r="BI46" i="5"/>
  <c r="BG47" i="5"/>
  <c r="BH47" i="5"/>
  <c r="BI47" i="5"/>
  <c r="BG48" i="5"/>
  <c r="BH48" i="5"/>
  <c r="BI48" i="5"/>
  <c r="BG49" i="5"/>
  <c r="BH49" i="5"/>
  <c r="BI49" i="5"/>
  <c r="BI45" i="5"/>
  <c r="BH45" i="5"/>
  <c r="BG45" i="5"/>
  <c r="BJ42" i="5"/>
  <c r="BH36" i="5"/>
  <c r="BI36" i="5"/>
  <c r="BG36" i="5"/>
  <c r="J29" i="18"/>
  <c r="I29" i="18"/>
  <c r="H29" i="18"/>
  <c r="G29" i="18"/>
  <c r="F29" i="18"/>
  <c r="E29" i="18"/>
  <c r="D29" i="18"/>
  <c r="J26" i="18"/>
  <c r="I26" i="18"/>
  <c r="H26" i="18"/>
  <c r="G26" i="18"/>
  <c r="F26" i="18"/>
  <c r="E26" i="18"/>
  <c r="D26" i="18"/>
  <c r="J23" i="18"/>
  <c r="I23" i="18"/>
  <c r="H23" i="18"/>
  <c r="G23" i="18"/>
  <c r="F23" i="18"/>
  <c r="E23" i="18"/>
  <c r="D23" i="18"/>
  <c r="J20" i="18"/>
  <c r="I20" i="18"/>
  <c r="H20" i="18"/>
  <c r="G20" i="18"/>
  <c r="F20" i="18"/>
  <c r="E20" i="18"/>
  <c r="D20" i="18"/>
  <c r="J17" i="18"/>
  <c r="I17" i="18"/>
  <c r="H17" i="18"/>
  <c r="G17" i="18"/>
  <c r="F17" i="18"/>
  <c r="E17" i="18"/>
  <c r="D17" i="18"/>
  <c r="J14" i="18"/>
  <c r="I14" i="18"/>
  <c r="H14" i="18"/>
  <c r="G14" i="18"/>
  <c r="F14" i="18"/>
  <c r="E14" i="18"/>
  <c r="D14" i="18"/>
  <c r="J11" i="18"/>
  <c r="I11" i="18"/>
  <c r="H11" i="18"/>
  <c r="G11" i="18"/>
  <c r="F11" i="18"/>
  <c r="E11" i="18"/>
  <c r="D11" i="18"/>
  <c r="J8" i="18"/>
  <c r="I8" i="18"/>
  <c r="H8" i="18"/>
  <c r="G8" i="18"/>
  <c r="F8" i="18"/>
  <c r="E8" i="18"/>
  <c r="D8" i="18"/>
  <c r="E5" i="18"/>
  <c r="F5" i="18"/>
  <c r="G5" i="18"/>
  <c r="H5" i="18"/>
  <c r="I5" i="18"/>
  <c r="J5" i="18"/>
  <c r="D5" i="18"/>
  <c r="I15" i="17"/>
  <c r="H15" i="17"/>
  <c r="G15" i="17"/>
  <c r="G17" i="17"/>
  <c r="H17" i="17"/>
  <c r="I17" i="17"/>
  <c r="G18" i="17"/>
  <c r="H18" i="17"/>
  <c r="I18" i="17"/>
  <c r="G19" i="17"/>
  <c r="H19" i="17"/>
  <c r="I19" i="17"/>
  <c r="G20" i="17"/>
  <c r="H20" i="17"/>
  <c r="I20" i="17"/>
  <c r="I16" i="17"/>
  <c r="H16" i="17"/>
  <c r="G16" i="17"/>
  <c r="H33" i="12"/>
  <c r="G33" i="12"/>
  <c r="F33" i="12"/>
  <c r="E33" i="12"/>
  <c r="D33" i="12"/>
  <c r="H30" i="12"/>
  <c r="G30" i="12"/>
  <c r="F30" i="12"/>
  <c r="E30" i="12"/>
  <c r="D30" i="12"/>
  <c r="H27" i="12"/>
  <c r="G27" i="12"/>
  <c r="F27" i="12"/>
  <c r="E27" i="12"/>
  <c r="D27" i="12"/>
  <c r="H24" i="12"/>
  <c r="G24" i="12"/>
  <c r="F24" i="12"/>
  <c r="E24" i="12"/>
  <c r="D24" i="12"/>
  <c r="H21" i="12"/>
  <c r="G21" i="12"/>
  <c r="F21" i="12"/>
  <c r="E21" i="12"/>
  <c r="D21" i="12"/>
  <c r="H18" i="12"/>
  <c r="G18" i="12"/>
  <c r="F18" i="12"/>
  <c r="E18" i="12"/>
  <c r="D18" i="12"/>
  <c r="H15" i="12"/>
  <c r="G15" i="12"/>
  <c r="F15" i="12"/>
  <c r="E15" i="12"/>
  <c r="D15" i="12"/>
  <c r="H12" i="12"/>
  <c r="G12" i="12"/>
  <c r="F12" i="12"/>
  <c r="E12" i="12"/>
  <c r="D12" i="12"/>
  <c r="H9" i="12"/>
  <c r="G9" i="12"/>
  <c r="F9" i="12"/>
  <c r="E9" i="12"/>
  <c r="D9" i="12"/>
  <c r="H6" i="12"/>
  <c r="G6" i="12"/>
  <c r="F6" i="12"/>
  <c r="E6" i="12"/>
  <c r="D6" i="12"/>
</calcChain>
</file>

<file path=xl/sharedStrings.xml><?xml version="1.0" encoding="utf-8"?>
<sst xmlns="http://schemas.openxmlformats.org/spreadsheetml/2006/main" count="1742" uniqueCount="741">
  <si>
    <t>Encuesta</t>
  </si>
  <si>
    <t>Año</t>
  </si>
  <si>
    <t>Fecha</t>
  </si>
  <si>
    <t>Hay que Reformarla</t>
  </si>
  <si>
    <t>Debe Quedarse como Está</t>
  </si>
  <si>
    <t>NS/NR</t>
  </si>
  <si>
    <t>Diciembre 1995</t>
  </si>
  <si>
    <t>Dic 95</t>
  </si>
  <si>
    <t>Mayo 2000</t>
  </si>
  <si>
    <t>May 00</t>
  </si>
  <si>
    <t>Abril 2002</t>
  </si>
  <si>
    <t>Abr 02</t>
  </si>
  <si>
    <t>Julio 2009</t>
  </si>
  <si>
    <t>Jul 09</t>
  </si>
  <si>
    <t>Agosto 2011</t>
  </si>
  <si>
    <t>Ago 11</t>
  </si>
  <si>
    <t>N° Encuesta</t>
  </si>
  <si>
    <t>Fecha Completa</t>
  </si>
  <si>
    <t>Fecha Base</t>
  </si>
  <si>
    <t>Reformas Constitucionales</t>
  </si>
  <si>
    <t>Junio-Julio 1996</t>
  </si>
  <si>
    <t>Junio 1996</t>
  </si>
  <si>
    <t>Jun 96</t>
  </si>
  <si>
    <t>Estudio Social y de Opinión Pública</t>
  </si>
  <si>
    <t>Noviembre 1995</t>
  </si>
  <si>
    <t>Noviembre-Diciembre 1996</t>
  </si>
  <si>
    <t>Noviembre 1996</t>
  </si>
  <si>
    <t>Nov 96</t>
  </si>
  <si>
    <t>¿Cree usted que la Constitución actual, aprobada en el año 1980, debería ser mantenida fundamentalmente como está o con cambios o reformas menores, o reformada con cambios importantes?</t>
  </si>
  <si>
    <t>Junio-Julio 1997</t>
  </si>
  <si>
    <t>Junio 1997</t>
  </si>
  <si>
    <t>Jun 97</t>
  </si>
  <si>
    <t>Mantenida fundamentalmente como está o con cambios o reformas menores</t>
  </si>
  <si>
    <t>Diciembre 1997 Enero 1998</t>
  </si>
  <si>
    <t>Diciembre 1997</t>
  </si>
  <si>
    <t>Dic 97</t>
  </si>
  <si>
    <t>Reformada con cambios importantes</t>
  </si>
  <si>
    <t>Junio 1998</t>
  </si>
  <si>
    <t>Jun 98</t>
  </si>
  <si>
    <t>No Sabe</t>
  </si>
  <si>
    <t>Abril-Mayo 1999</t>
  </si>
  <si>
    <t>Abril 1999</t>
  </si>
  <si>
    <t>Abr 99</t>
  </si>
  <si>
    <t>No Contesta</t>
  </si>
  <si>
    <t>Septiembre-Octubre 1999</t>
  </si>
  <si>
    <t>Septiembre 1999</t>
  </si>
  <si>
    <t>Sep 99</t>
  </si>
  <si>
    <t>Marzo-Abril 2000</t>
  </si>
  <si>
    <t>Marzo 2000</t>
  </si>
  <si>
    <t>Mar 00</t>
  </si>
  <si>
    <t>Noviembre-Diciembre 2000</t>
  </si>
  <si>
    <t>Noviembre 2000</t>
  </si>
  <si>
    <t>Nov 00</t>
  </si>
  <si>
    <t>Junio 2001</t>
  </si>
  <si>
    <t>Jun 01</t>
  </si>
  <si>
    <t>Diciembre 2001 Enero 2002</t>
  </si>
  <si>
    <t>Diciembre 2001</t>
  </si>
  <si>
    <t>Dic 01</t>
  </si>
  <si>
    <t>Julio 2002</t>
  </si>
  <si>
    <t>Jul 02</t>
  </si>
  <si>
    <t>Diciembre 2002</t>
  </si>
  <si>
    <t>Dic 02</t>
  </si>
  <si>
    <t>Junio-Julio 2003</t>
  </si>
  <si>
    <t>Junio 2003</t>
  </si>
  <si>
    <t>Jun 03</t>
  </si>
  <si>
    <t>Diciembre 2003</t>
  </si>
  <si>
    <t>Dic 03</t>
  </si>
  <si>
    <t>Junio-Julio 2004</t>
  </si>
  <si>
    <t>Junio 2004</t>
  </si>
  <si>
    <t>Jun 04</t>
  </si>
  <si>
    <t>Diciembre 2004</t>
  </si>
  <si>
    <t>Dic 04</t>
  </si>
  <si>
    <t>Junio-Julio 2005</t>
  </si>
  <si>
    <t>Junio 2005</t>
  </si>
  <si>
    <t>Jun 05</t>
  </si>
  <si>
    <t>Agosto-Septiembre 2005</t>
  </si>
  <si>
    <t>NO, Pregunta Binominal</t>
  </si>
  <si>
    <t>Octubre-Noviembre 2005</t>
  </si>
  <si>
    <t>Junio-Julio 2006</t>
  </si>
  <si>
    <t>Diciembre 2006</t>
  </si>
  <si>
    <t>Junio 2007</t>
  </si>
  <si>
    <t>Noviembre-Diciembre 2007</t>
  </si>
  <si>
    <t>Junio 2008</t>
  </si>
  <si>
    <t>Noviembre-Diciembre 2008</t>
  </si>
  <si>
    <t>Mayo-Junio 2009</t>
  </si>
  <si>
    <t>Agosto 2009</t>
  </si>
  <si>
    <t>Octubre 2009</t>
  </si>
  <si>
    <t>Junio-Julio 2010</t>
  </si>
  <si>
    <t>Noviembre-Diciembre 2010</t>
  </si>
  <si>
    <t>Junio-Julio 2011</t>
  </si>
  <si>
    <t>Noviembre-Diciembre 2011</t>
  </si>
  <si>
    <t>Abril 2012</t>
  </si>
  <si>
    <t>Julio-Agosto 2012</t>
  </si>
  <si>
    <t>Noviembre-Diciembre 2012</t>
  </si>
  <si>
    <t>Julio-Agosto 2013</t>
  </si>
  <si>
    <t>Septiembre-Octubre 2013</t>
  </si>
  <si>
    <t>Tabla 1: ¿Qué deberían hacer las autoridades para resolver cómo aprobar una Nueva Constitución?, según características sociodemográficas seleccionadas</t>
  </si>
  <si>
    <t>Sexo</t>
  </si>
  <si>
    <t>Edad</t>
  </si>
  <si>
    <t>Hombre</t>
  </si>
  <si>
    <t>Mujer</t>
  </si>
  <si>
    <t>18 a 29 años</t>
  </si>
  <si>
    <t>30 a 45 años</t>
  </si>
  <si>
    <t>46 a 60 años</t>
  </si>
  <si>
    <t>61 y más años</t>
  </si>
  <si>
    <t>Hacer un Plebiscito</t>
  </si>
  <si>
    <t>Convocar a un Grupo de Expertos para Decidir</t>
  </si>
  <si>
    <t>Región</t>
  </si>
  <si>
    <t>Grupo Socioeconómico</t>
  </si>
  <si>
    <t>RM</t>
  </si>
  <si>
    <t>Otras</t>
  </si>
  <si>
    <t>ABC1</t>
  </si>
  <si>
    <t>C2</t>
  </si>
  <si>
    <t>C3</t>
  </si>
  <si>
    <t>D</t>
  </si>
  <si>
    <t>E</t>
  </si>
  <si>
    <r>
      <t>Fuente:</t>
    </r>
    <r>
      <rPr>
        <sz val="12"/>
        <color rgb="FF000000"/>
        <rFont val="Times New Roman"/>
        <family val="1"/>
      </rPr>
      <t xml:space="preserve"> Encuesta Nacional de Opinión Pública UDP, 2009.</t>
    </r>
  </si>
  <si>
    <t>Total</t>
  </si>
  <si>
    <t xml:space="preserve">Convocar a un Grupo de Expertos </t>
  </si>
  <si>
    <t>No Sabe/No Responde</t>
  </si>
  <si>
    <t>Ed. Básica</t>
  </si>
  <si>
    <t>Ed. Media</t>
  </si>
  <si>
    <t>Técnica Sup.</t>
  </si>
  <si>
    <t>Universitaria</t>
  </si>
  <si>
    <t>Convocar a un Grupo de Expertos</t>
  </si>
  <si>
    <t>Derecha</t>
  </si>
  <si>
    <t>Centro</t>
  </si>
  <si>
    <t>Izquierda</t>
  </si>
  <si>
    <t>Ninguna</t>
  </si>
  <si>
    <t>Fecha de Realización</t>
  </si>
  <si>
    <t>Tabla 1:</t>
  </si>
  <si>
    <t>CERC</t>
  </si>
  <si>
    <t>Organización Responsable</t>
  </si>
  <si>
    <t xml:space="preserve">Fecha </t>
  </si>
  <si>
    <t>Trabajo de Campo</t>
  </si>
  <si>
    <t>Tipo de Encuesta</t>
  </si>
  <si>
    <t>Pregunta sobre el Tema</t>
  </si>
  <si>
    <t>Encuesta Telefónica La Segunda - UDD Sept. 2013</t>
  </si>
  <si>
    <t>UDD - La Segunda</t>
  </si>
  <si>
    <t>Recordación de candidatos presidenciales. Intención de voto para presidente. Voto decidido. Inscripción en antiguo padrón electoral. Intención de votar en próximas elecciones. Modificación del sistema binominal. Cobertura televisiva a los 40 años del Golpe Militar.</t>
  </si>
  <si>
    <t>Telefónica</t>
  </si>
  <si>
    <t>Encuesta realizadas en 66 comunas a nivel nacional, representando un 68% de la población mayor de 18 años. Distribuidos según el peso de cada comuna.</t>
  </si>
  <si>
    <t>Sep,2013</t>
  </si>
  <si>
    <t>Solicitar</t>
  </si>
  <si>
    <t xml:space="preserve">CEP </t>
  </si>
  <si>
    <t>Centro de Estudios de la Realidad Contemporánea</t>
  </si>
  <si>
    <t>Agosto-Septiembre 2011</t>
  </si>
  <si>
    <t>18 y 28 Agosto 2011</t>
  </si>
  <si>
    <t>Presencial</t>
  </si>
  <si>
    <t>¿Está Ud. a favor o en contra de reformar la Constitución? *Reformar la Constitución es una categoría de respuesta para la pregunta ¿Qué se debe hacer para que se restituya la paz social?</t>
  </si>
  <si>
    <t>Estudio Nacional de Opinión Pública Nº69</t>
  </si>
  <si>
    <t>CEP</t>
  </si>
  <si>
    <t>Percepción económica, visión del país y principales problemas. Situación económica del país. Actividades políticas de la gente. Democracia en Chile. Confianza en instituciones. Sistema electoral binominal. Razones de la pobreza. Desigualdad. Tipo de sociedad. Evaluación de coaliciones políticas (Oposición, Concertación, Alianza). Evaluación de personajes políticos. Evaluación del Gobierno. Confianza en Pdte. Piñera. Aprobación del presidente. Participación en elecciones presidencial 2013.</t>
  </si>
  <si>
    <t>Entrevistas cara a cara.</t>
  </si>
  <si>
    <t>Población de 18 años y más (urbana y rural) residente a lo largo de todo el país (excluida Isla de Pascua).</t>
  </si>
  <si>
    <t>Ago,2013</t>
  </si>
  <si>
    <t>LAPOP</t>
  </si>
  <si>
    <t>2012 y 2014</t>
  </si>
  <si>
    <t>Corporación Humanas</t>
  </si>
  <si>
    <t>2011</t>
  </si>
  <si>
    <t>15 de Agosto al 7 de Octubre de 2011</t>
  </si>
  <si>
    <t>¿Estaría de acuerdo con cambiar la actual Constitución de Chile?</t>
  </si>
  <si>
    <t>Encuesta Metropolitana sobre Comportamiento Político Juvenil</t>
  </si>
  <si>
    <t>U. Andrés Bello</t>
  </si>
  <si>
    <t>Opinión sobre ir a votar en las próximas elecciones; Razones para NO ir a votar en próximas elecciones; Coalición política por la cual votará; Interés por la política; Coalición política que representan valores, creencias e intereses; Posición política personal; Opinión sobre sistema binominal; Información sobre sistema binominal; Opinión sobre funcionamiento de democracia en Chile; Confianza en instituciones; Evaluación de gobiernos; Expectativas del país en 10 años más; Nivel de confianza en movimiento estudiantil; Opinión sobre manifestaciones sociales; Confianza en medios de comunicación; De acuerdo o desacuerdo con soportes de propaganda electoral; Votar el próximas elecciones presidenciales; Intención de voto en Coalición Política; Votación por candidatos en próximas elecciones presidenciales</t>
  </si>
  <si>
    <t>Cara a cara</t>
  </si>
  <si>
    <t>Jóvenes entre 18 y 25 años residentes del Gran Santiago</t>
  </si>
  <si>
    <t>Oct,2012</t>
  </si>
  <si>
    <t>UDP</t>
  </si>
  <si>
    <t>2013</t>
  </si>
  <si>
    <t>Latin American Public Opinion Project</t>
  </si>
  <si>
    <t>2012</t>
  </si>
  <si>
    <t>30 de Marzo al 1 de Mayo de 2012</t>
  </si>
  <si>
    <t>Últimamente, se ha planteado una discusión respecto a la necesidad de que se produzca en Chile una reforma a la constitución, para cambiar el funcionamiento político del país… ¿cuán de acuerdo está Ud. con que se busque realizar una reforma constitucional?                                   Suponga ahora que existen una o varias propuestas de reforma constitucional. ¿Cuál cree que es la mejor forma para elegir entre dichas reformas?</t>
  </si>
  <si>
    <t>Disposiciones y Actitudes hacia el Sistema de Representación Política</t>
  </si>
  <si>
    <t>INJ</t>
  </si>
  <si>
    <t>Uso de sistema binominal en las elecciones presidenciales, parlamentarias, municipales; Conocimiento de representación de diputados en comuna donde vive; Conocimiento de periodicidad en elección de diputados; Nombrar 5 diputados de la república; Conocimiento de actividades que son parte de trabajo de diputados; Actitudes sobre la política; Frecuencia de conversación sobre política; Nivel de importancia de aspectos de la política en Chile; Nivel de importancia por persona que gane la elección de alcalde en octubre; Nivel de importancia de noticias sobre política; Nivel de importancia de sistema electoral; Información de política a través de medios informativos; Opinión sobre influir en política; Medio más efectivo para influir en política; Participación en alguna marcha pública; Aumento o disminución de cantidad de jóvenes que votan por inscripción automática y voto voluntario; Disposición a votar en las próximas elecciones; Consideración de posición política personal</t>
  </si>
  <si>
    <t>Jóvenes, hombres y mujeres de entre 18 y 29 años pertenecientes a todos los niveles socioeconómicos residentes en las 15 regiones del país</t>
  </si>
  <si>
    <t>Ago,2012</t>
  </si>
  <si>
    <t>Estudio Nacional de Opinión Pública: Auditoría a la Democracia</t>
  </si>
  <si>
    <t>Apoyo a la democracia e instituciones políticas; Opiniones sobre ser buen ciudadano; Opiniones sobre derechos de las personas; Nivel de democracia que existe en Chile; Funcionamiento de la democracia en Chile; Confianza en instituciones; Opinión de las Fuerzas Armadas; Manejo de municipios y ministerios; Capacidad de instituciones de solucionar problemas locales; Partidos políticos y Congreso nacional; Voto de diputados y senadores según opinión de partido u opinión personal; Representación de diputados y senadores; Tarea más importante del Congreso; Cumplimiento de funciones del Congreso; Opinión sobre elección de presidentes y directivas de partidos políticos; Disposición a donar dinero para campaña política; Virtudes y defectos de partidos políticos; Estado de derecho, justicia y poder judicial; Obediencia de leyes; Derecho de gobierno bajo sospecha de actitudes terroristas; Integridad en la vida pública; Pago de coimas para solucionar problemas en servicio público; Extensión de corrupción en Chile; Trato de funcionarios públicos a ciudadanos; Participación política; Inscripción en registros electorales; Participación en formas de acción política; Pertenencia a grupos y asociaciones; Nivel de confianza en personas; Régimen electoral y elecciones; Cambio o mantención de sistema electoral; Acuerdo o desacuerdo en existencia de ley que iguale número de mujeres y hombres en cargos políticos; Opinión sobre inscripción automática y voto voluntario; Posibilidad de voto de chilenos en el extranjero; Identificación política y nivel de politización; Identificación con partido político y tendencia política; Interés en política; Nacionalidad y ciudadanía; Factores para ser verdaderamente chilenos; Opiniones sobre inmigrantes en Chile; Opinión sobre pueblos indígenas; Orgullo de sentirse chileno; Percepción de situación actual del país</t>
  </si>
  <si>
    <t>Población de 18 años y más (urbana y rural) residente a lo largo de todo el país (se excluye Isla de Pascua)</t>
  </si>
  <si>
    <t>Oct,2010</t>
  </si>
  <si>
    <t>MORI</t>
  </si>
  <si>
    <t>Junio 2013</t>
  </si>
  <si>
    <t>MORI Chile</t>
  </si>
  <si>
    <t>Junio de 2013</t>
  </si>
  <si>
    <t>7 al 10 de Junio de 2013</t>
  </si>
  <si>
    <t>Hay distintas opiniones sobre la Constitución Política de Chile. ¿Cuál de estas está más cerca de su manera de pensar? Algunos dicen que Chile necesita una nueva constitución, otros opinan que hay que reformar la Constitución, o cree Ud. que hay que mantener la constitución como está?                                          Cuán de acuerdo está Ud. con cada una de las siguientes frases. Se necesita una Asamblea Constituyente para redactar una nueva Constitución. Muy de acuerdo, de acuerdo, en desacuerdo o muy en desacuerdo.</t>
  </si>
  <si>
    <t>Estudio de Opinión Pública, febrero 2012</t>
  </si>
  <si>
    <t>Ipsos</t>
  </si>
  <si>
    <t>Acceso a redes sociales; Tendencia política; Posición frente al gobierno; Posición frente al gobierno de Piñera; Percepción de la situación en Chile; Principales problemáticas del país; Percepción situación próximos seis meses; Percepción de la situación económica actual del país y situación personal; Percepción de la situación económica personal futura; Movilidad social de hijos; Opinión sobre ley dicom; Inscripción en registros electorales; Aumento o disminución de votantes con la inscripción automática; Efectos de la inscripción automática; Opción de votar en próximas elecciones presidenciales, municipales; Conocimiento del sistema binominal; Evaluación del sistema binominal; Evaluación desempeño gabinete de Piñera; Evaluación de gestión de los ministros; Opinión sobre realizar más cambios de gabinete; De acuerdo o desacuerdo con aporte de movimiento estudiantil al debate de la educación en Chile; Opinión de pérdida de fuerza de movimiento durante vacaciones; Opinión sobre continuación de movilizaciones estudiantiles durante 2012; Opinión sobre futuro rol político de líderes del movimiento estudiantil; Mejor forma de administración de educación pública; De acuerdo o desacuerdo con el aborto; De acuerdo o desacuerdo con matrimonio entre personas del mismo sexo; De acuerdo o desacuerdo con parejas adopción de hijos de parejas del mismo sexo; De acuerdo o desacuerdo con legalización de marihuana; De acuerdo o desacuerdo con aplicación de pena de muerte en Chile</t>
  </si>
  <si>
    <t>Encuesta vía online</t>
  </si>
  <si>
    <t>Hombres y mujeres mayores de 18 años</t>
  </si>
  <si>
    <t>Feb,2012</t>
  </si>
  <si>
    <t>Estudio Nacional sobre Partidos Políticos y Sistema Electoral</t>
  </si>
  <si>
    <t>Cep</t>
  </si>
  <si>
    <t>Partidos políticos y sistema electoral</t>
  </si>
  <si>
    <t>Cara a Cara</t>
  </si>
  <si>
    <t>Mayores de 18 años. Nacional.</t>
  </si>
  <si>
    <t>Abr,2008</t>
  </si>
  <si>
    <t>USACH-Ipsos</t>
  </si>
  <si>
    <t>Diciembre 2013</t>
  </si>
  <si>
    <t>Centro de Estudios Públicos</t>
  </si>
  <si>
    <t>13 de Septiembre y 14 de Octubre de 2013</t>
  </si>
  <si>
    <t>Ahora le voy a mencionar algunas de las propuestas que los candidatos/as presidenciales han planteado durante esta campaña. Está Ud. de acuerdo o en desacuerdo con la propuesta de: Asamblea Constituyente.</t>
  </si>
  <si>
    <t>Segunda Encuesta Mujer y Política</t>
  </si>
  <si>
    <t>ComunidadMujer</t>
  </si>
  <si>
    <t>Disposición a votar en las elecciones municipales; Intención de voto en las próximas elecciones municipales; De acuerdo o desacuerdo con cambiar el sistema binominal; Razones para estar o no de acuerdo con cambios en el sistema binominal; Elección de candidato según edad, experiencia, sexo; Medidas más importantes para mejorar la situación de las mujeres en Chile; De acuerdo o desacuerdo con medidas para que las mujeres aumenten su participación en política; De acuerdo o desacuerdo con la asignacoón de cuotas por géneros en cargos políticos</t>
  </si>
  <si>
    <t>Hombres y mujeres de 18 años y más, residentes en las principales ciudades y que habitan en hogares con teléfono de red fija</t>
  </si>
  <si>
    <t>Estudio Nacional de Opinión Püblica Junio 2007</t>
  </si>
  <si>
    <t>Percepción económica, visión del país y principales problemas. Percepción del Gobierno y oposición. Percepción de partidos y coaliciones políticas. Sistema electoral. Evaluación de personajes políticos.</t>
  </si>
  <si>
    <t>Mayores de 18 años. 141 comunas</t>
  </si>
  <si>
    <t>Jun,2007</t>
  </si>
  <si>
    <t>Adimark-GFK</t>
  </si>
  <si>
    <t>Marzo 2014</t>
  </si>
  <si>
    <t>13 de Agosto al 16 de Septiembre de 2013</t>
  </si>
  <si>
    <t>¿Cuál es la medida más urgente que debiera tomar el próximo gobierno? ¿y la segunda más urgente? ¿y la tercera? Crear una Nueva Constitución como alternativa</t>
  </si>
  <si>
    <t>Sondeo Ley de Inscripción Automática y Voto Voluntario</t>
  </si>
  <si>
    <t>La Tercera</t>
  </si>
  <si>
    <t>Conocimiento de inscripción automática de una persona en el registro civil; Conocimiento de ley de voto voluntario; Candidato a votar si elección fuese próximo domingo; Opinión sobre quién será el próximo presidente de Chile; Decisión de voto entre parejas de candidatos; Candidatos por quien no votaría; Opinión sobre personajes más respetados, asegura mayor estabilidad al país, tiene valores más sólidos, proyecta mayor autoridad, tiene mayor capacidad de toma de decisiones, creíble, tiene más habilidades para manejar una crisis; Inscripción en registros electorales; Decisión de votar en las próximas elecciones; Cualidades que valora de un candidato; Tema que debería dar prioridad el gobierno; Conocimiento del sistema binominal; Opinión sobre cambiar el sistema binominal</t>
  </si>
  <si>
    <t>Personas entre 18 y 70 años de un conjunto de un conjunto de 92 ciudades con más de 20.000 habitantes</t>
  </si>
  <si>
    <t>Estudio de Opinión Pública Diciembre 2006</t>
  </si>
  <si>
    <t>Población mayor de 18 años. Nacional</t>
  </si>
  <si>
    <t>Dic,2006</t>
  </si>
  <si>
    <t>Mayo 2014</t>
  </si>
  <si>
    <t>Instituto de Investigación en Ciencias Sociales, Universidad Diego Portales</t>
  </si>
  <si>
    <t>3 de Septiembre y 10 de Octubre de 2013</t>
  </si>
  <si>
    <t>Siendo 1 “nada importante” y 7 “muy importante”, ¿cuán importante cree usted que son las siguientes reformas para Chile? Establecer una Nueva Constitución</t>
  </si>
  <si>
    <t>Segundo Estudio en Población Conectada</t>
  </si>
  <si>
    <t>Posición frente al gobierno del Pdte. Piñera; problema más grave del país; percepción situación del país, de la economía del país y personal; movilidad social; ley Dicom; inscripción automática y voto voluntario; inscripción registros electorales; intención de voto; conocimiento sistema binominal; evaluación del gabinete y ministros de Pdte. Piñera; movimiento estudiantil; educación pública; aborto; matrimonio homosexual y adopción de hijos por parejas de un mismo sexo; legalización de la marihuana; pena de muerte.</t>
  </si>
  <si>
    <t>Cuantitativo y vía web</t>
  </si>
  <si>
    <t>Hombres y mujeres mayores de 18 años, pertenecientes al panel Ipsos Chile. Población conectada usuarios fuertes de internet y redes sociales</t>
  </si>
  <si>
    <t>Centro de Estudios Sociales y Opinión Pública, Universidad Central y Publimetro</t>
  </si>
  <si>
    <t>No reportada</t>
  </si>
  <si>
    <t>No reportan preguntas del cuestionario. Evalúa apoyo a modificar actual Constitución, hacer cambios mediante una Asamblea Constituyente y disposición a marcar el voto con letras AC</t>
  </si>
  <si>
    <t>Perfil del Nuevo Votante</t>
  </si>
  <si>
    <t>U. De Talca</t>
  </si>
  <si>
    <t>Disposición a votar en elecciones municipales, parlamentarias y presidenciales; De acuerdo o desacuerdo con cambio en sistema binominal; Confianza en actuales parlamentarios; Identificación con algún partido político; Opinión sobre participación en toma de decisiones a partir del voto; Inscripción en registros electorales; Opciones para ir a votar</t>
  </si>
  <si>
    <t>Encuesta interceptada</t>
  </si>
  <si>
    <t>Personas mayores de 18 años habitantes de Talca, no inscritas en registros electorales</t>
  </si>
  <si>
    <t>Ene,2012</t>
  </si>
  <si>
    <t>Universidad de Santiago-IPSOS</t>
  </si>
  <si>
    <t>2013 (Segunda Medición)</t>
  </si>
  <si>
    <t>21 de Noviembre al 2 de Diciembre de 2013</t>
  </si>
  <si>
    <t>Online autoadministrada</t>
  </si>
  <si>
    <t>Respecto a la Constitución vigente: Debiera mantenerse la actual Constitución; Debiera cambiarse por una nueva Constitución; No Sabe.                                           Se han discutido varias propuestas para la elaboración de una nueva Constitución. A su juicio una nueva Constitución debiera ser: Elaborada y aprobada por el Congreso Nacional; Encargada por el Congreso Nacional a una Asamblea Constituyente y aprobada en un plebiscito; Realizada por una Asamblea Constituyente convocada por organizaciones sociales; No Sabe</t>
  </si>
  <si>
    <t>Estudio Nacional de Opinión Pública Noviembre - Diciembre 2011</t>
  </si>
  <si>
    <t>Problemas a los que debería dedicar mayor esfuerzo en solucionar el gobierno; Calificación de situación económica del país; Nivel de estancamiento, progreso o decadencia del país en la actualidad; Sentimiento personal sobre cómo están las cosas en el país; Preferencia entre liceo municipal o colegio particular subvencionado; Existencia en Chile de sistema escolar que garantice educación gratuita; Entrega de educación gratuita por escuelas municipales o combinación colegios municipales y subvencionados; Opinión sobre gratuidad de universidades que reciben financiamiento del Estado; Opinión sobre posibilidad de devolución de dinero de estudiante que estudie gratis; Universidades con fines de lucro; Evaluación de funcionamiento de democracia en Chile; Opinión sobre sistema electoral binominal; Nivel de confianza en instituciones; Formas de acción política que ha llevado a cabo; Autorización de marchas; Opinión sobre medidas policiales adoptadas; Principal responsable de ausencia de acuerdos en conflicto estudiantil; Identificación política con Concertación, Coalición por el Cambio, Juntos Podemos; Aprobación o desaprobación de forma que oposición y Concertación están desarrollando su labor; Evaluación de personajes políticos; Figura más importante de la Oposición; Figura más importante de Coalición por el Cambio; Evaluación del gobierno en economía, reconstrucción, empleo, salud, medioambiente, transporte público, inflación, delincuencia, pobreza, educación; Evaluación de manejo de economía por parte del gobierno; Actuación del gobierno ante presiones de sectores; Nivel de confianza que genera Sebastián Piñera; Lejanía o cercanía que genera Sebastián Piñera</t>
  </si>
  <si>
    <t>Entrevista cara a cara</t>
  </si>
  <si>
    <t>Dic,2011</t>
  </si>
  <si>
    <t>Enero 2014</t>
  </si>
  <si>
    <t>19 de Diciembre de 2013 y 10 de Enero de 2014</t>
  </si>
  <si>
    <t>La presidenta electa Michelle Bachelet ha propuesto tres grandes temas. Diganos si esta  muy de acuerdo, de acuerdo, en desacuerdo o muy en desacuerdo con hacer una nueva Constitución.</t>
  </si>
  <si>
    <t>Cambios al Sistema Electoral</t>
  </si>
  <si>
    <t>Imaginaccion</t>
  </si>
  <si>
    <t>Opinión sobre inscripción automática en el registro electoral; Preferencia entre voto voluntario o voto obligatorio; Mantener o cambiar el actual sistema binominal; Urgencia de modificación del binominal</t>
  </si>
  <si>
    <t>Hogares que cuentan con conexión telefónica fija en todas las regiones del país</t>
  </si>
  <si>
    <t>Nov,2011</t>
  </si>
  <si>
    <t>Universidad del Desarrollo-La Segunda</t>
  </si>
  <si>
    <t>8 y 9 de Marzo de 2014</t>
  </si>
  <si>
    <t>¿Será el Gobierno de Bachelet capaz de cumplir con…? Hacer una nueva Constitución</t>
  </si>
  <si>
    <t>Barómetro de la Política Agosto - Septiembre, 2011</t>
  </si>
  <si>
    <t>Cerc</t>
  </si>
  <si>
    <t>Confianza en instituciones; Problemas más importantes que afectan al país; Imagen del gobierno; Aprobación presidencial; De acuerdo o desacuerdo con gobierno de los empresarios; Confianza en Sebastián Piñera; Partidarios al gobierno y oposición; Opinión sobre Concertación; Evaluación desempeño de Concertación; Imagen de los políticos chilenos; Liderazgos políticos; Políticos con más futuro; Mejores ministros; Principal figura de oposición; Próximo presidente de Chile; Mejor candidato presidencial de la Alianza y de la Concertación; Reconciliación de chilenos y DD.HH.; Opinión sobre insistir en problema de las violaciones a DD.HH.; Magnitud de violaciones a DD.HH.; Opinión sobre gobierno de Pinochet; Desigualdades en el gobierno de Piñera; Reforma a la Constitución y los impuestos; Movilizaciones estudiantiles y demandas; Opinión sobre realizar plebiscito para solucionar problema de educación; Postura de gobierno frente a movimiento estudiantil; Participación en manifestaciones estudiantiles; Opinión sobre ganancia o pérdida de estudiantes; Opinión sobre tocar la cacerola; Interés del gobierno en resolver el problema; Restituir la paz social; Opinión sobre aumento o disminución de conflictos sociales; Endeudamiento de chilenos; Evaluación situación económica del país; Expectativas económicas; Sistema binominal; Legitimidad de utilidades en industrias y universidades</t>
  </si>
  <si>
    <t>Toda la población de ambos sexos de 18 años y más, que habita entre la I y la XV regiones</t>
  </si>
  <si>
    <t>Sep,2011</t>
  </si>
  <si>
    <t>12 al 31 de Marzo de 2014</t>
  </si>
  <si>
    <t>¿Cree ud. que el gobierno de Michelle Bachelet será capaz de cambiar la actual Constitución por una nueva ?</t>
  </si>
  <si>
    <t>Reformas Fundamentales</t>
  </si>
  <si>
    <t>Importancia de reformas políticas, reforma educacional y reforma tributaria; De acuerdo o desacuerdo con cambios en el sistema binominal, cambio en el sistema de reemplazos de cargos elegidos, eliminación del sistema municipalizado, eliminación del lucro</t>
  </si>
  <si>
    <t>Hogares que cuentan con conexión telefónica fija y que residen en todas las regiones del país</t>
  </si>
  <si>
    <t>Ago,2011</t>
  </si>
  <si>
    <t>Cadem Research</t>
  </si>
  <si>
    <t>4 de Marzo; 17 de Marzo; 7 de Abril; 25 de Abril; 25 de Mayo; 9 de Junio</t>
  </si>
  <si>
    <t>26 y 27 de Febrero; 12 y 13 de Marzo ; 2 al 4 de Abril; 23 al 25 de Abril; 22 al 24 de Mayo; 4 al 6 de Junio</t>
  </si>
  <si>
    <t>Telefónica y presencial</t>
  </si>
  <si>
    <t>A su juicio, ¿En cuál de las siguientes áreas el gobierno de Michelle Bachelet debería dedicar mayor esfuerzo? Hacer una nueva constitución                        ¿Cuán probable considera usted que el gobierno de Michelle Bachelet cumpla  con…? Hacer una nueva constitución ¿Me podría decir cuál fue para usted el tema o área más importante del discurso de la Presidenta Bachelet en este 21 de Mayo? (Mención espontánea palabras asociadas a Constitución)</t>
  </si>
  <si>
    <t>Opinión Pública, Agosto 2011</t>
  </si>
  <si>
    <t>Criteria Research</t>
  </si>
  <si>
    <t>De acuerdo o desacuerdo con opiniones sobre situación educacional y social del país; Opinión sobre cambiar el sistema binominal; Opinión sobre mejoras al sistema electoral; De acuerdo o desacuerdo con actitudes frente al lucro en la educación; Opinión sobre situación actual de instituciones educativas en torno al lucro; Participación en actividades y manifestaciones sociales en el barrio, marchas, cacerolazos; Nivel de participación en manifestaciones sociales; Percepción de nivel de seguridad ciudadana; Percepción de abuso al consumidor; Sentimiento frente a movilizaciones; Opinión de propuesta de gobierno frente a demandas estudiantiles; Opinión de actitud de estudiantes; Nivel de intransigencia de estudiantes y gobierno; Responsabilidades de autoridades e instituciones frente al conflicto estudiantil; Nivel de aprobación de forma que Sebastián Piñera conduce su gobierno</t>
  </si>
  <si>
    <t>Hombres y mujeres de 18 - 70 años de grupos socioeconómicos BC1, C2, C y D, residentes en el Gran Santiago</t>
  </si>
  <si>
    <t>7 al 31 de Mayo de 2014</t>
  </si>
  <si>
    <t>Como Ud. sabe, el gobierno ha propuesto una serie de reformas a los impuestos, a la educación y a la constitución, que se están discutiendo en la actualidad. En general, ¿Ud. está de acuerdo o en desacuerdo con.. Cambiar la Constitución                                      Independiente de si Ud. está de acuerdo o en desacuerdo, ¿Cree ud. que el gobierno de Michelle Bachelet será capaz de…? Cambiar la actual Constitución</t>
  </si>
  <si>
    <t>Estudio de Opinión Pública, Abril 2011</t>
  </si>
  <si>
    <t>Aprobación o desaprobación de manera que se está manejando el gobierno; Aprobación o desaprobación de desempeño de Sebastián Piñera; Percepción de la situación actual y futura de Chile; Percepción de la situación económica actual de Chile; Percepción de la situación económica en un año más en Chile; Opinión sobre los problemas más graves del país; Aprobación o desaprobación de forma que Sebastián Piñera ha gestionado la seguridad, la economía, la educación, la reconstrucción, la energía, el desempleo, la salud, los impuestos; Identificación política; Opinión sobre sentimiento de oposición o partidario frente al gobierno de Sebastián Piñera; A favor o en contra de la construcción de centrales hidroeléctricas en Aysén; De acuerdo o desacuerdo con la construcción de centrales nucleares en Chile; Inscripción en registros electorales; Votación en las últimas elecciones presidenciales; Opinión sobre obligatoriedad o voluntariedad del voto; Disposición a votar si voto fuese voluntario; Conocimiento de sistema binominal de elecciones de diputados y senadores; De acuerdo o desacuerdo con el sistema binominal; Opinión sobre el derecho a voto de chilenos que viven en el extranjero; De acuerdo o desacuerdo con limitación en la reelección de parlamentarios; De acuerdo o desacuerdo con reelección inmediata de presidentes de la república; De acuerdo o desacuerdo con la opción de parlamentarios de trabajar en el gobierno; Nivel de confianza en diversas instituciones; Actividades que ha realizado en los últimos doce meses; Nivel de participación en organizaciones sociales o políticas; Evaluación de la calidad de la información política que medios de comunicación entregan; Principales factores que considera a la hora de decidir su voto; Opinión sobre represnetación de ideas y opiniones en algún partido o personaje político; Político que mejor representa las ideas personales; Estado civil; Religión más cercana; Acceso a internet; Uso de redes sociales</t>
  </si>
  <si>
    <t>Hombres y mujeres mayores de 18 años, pertenecientes a hogares con tenencia de teléfono residentes en 24 ciudades de más de 50 mil habitantes, de Arica a Punta Arenas, excluyendo Isla de Pascua</t>
  </si>
  <si>
    <t>Abr,2011</t>
  </si>
  <si>
    <t>2014</t>
  </si>
  <si>
    <t>No publicada</t>
  </si>
  <si>
    <t>El Pulso de la Política Diciembre 2002</t>
  </si>
  <si>
    <t>Fundación Futuro</t>
  </si>
  <si>
    <t>Desempeño y apoyo al gobierno. Situación económica. Conocimiento y evaluación de Ministros. Plan Auge. Consumo Marihuana, Pildora del día Después. Voto voluntario. Sistema Binominal. Gobierno FFAA. Caso Coimas y Sobresueldos.</t>
  </si>
  <si>
    <t>Telefónico</t>
  </si>
  <si>
    <t>49 Principales Ciudades</t>
  </si>
  <si>
    <t>Dic,2002</t>
  </si>
  <si>
    <t>Fuente: Banco de Encuestas Fundación Futuro, 2014.</t>
  </si>
  <si>
    <t>Tabla 2: Encuestas sobre Cambio Constitucional en Chile, 2011 al 2013</t>
  </si>
  <si>
    <t>Tipo</t>
  </si>
  <si>
    <t>¿Está Ud. a favor o en contra de reformar la Constitución?                                        *Reformar la Constitución es una categoría de respuesta para la pregunta ¿Qué se debe hacer para que se restituya la paz social?</t>
  </si>
  <si>
    <t>Barómetro de las Américas</t>
  </si>
  <si>
    <t>Hay distintas opiniones sobre la Constitución Política de Chile. ¿Cuál de estas está más cerca de su manera de pensar? Algunos dicen que Chile necesita una nueva constitución, otros opinan que hay que reformar la Constitución, o cree Ud. que hay que mantener la constitución cómo está?                                                      Cuán de acuerdo está Ud. con cada una de las siguientes frases. Se necesita una Asamblea Constituyente para redactar una nueva Constitución. Muy de acuerdo, de acuerdo, en desacuerdo o muy en desacuerdo.</t>
  </si>
  <si>
    <t>¿Cuál es la medida más urgente que debiera tomar el próximo gobierno? ¿Y la segunda más urgente? ¿Y la tercera? Crear una Nueva Constitución como alternativa</t>
  </si>
  <si>
    <t>Tabla 2: Encuestas sobre Cambio Constitucional en Chile, 2011 al 2013 (Continuación)</t>
  </si>
  <si>
    <t>CESOP Universidad Central y Publimetro</t>
  </si>
  <si>
    <t>La presidenta electa Michelle Bachelet ha propuesto tres grandes temas. Díganos si está  muy de acuerdo, de acuerdo, en desacuerdo o muy en desacuerdo con hacer una nueva Constitución.</t>
  </si>
  <si>
    <t>¿Cree Ud. que el gobierno de Michelle Bachelet será capaz de cambiar la actual Constitución por una nueva?</t>
  </si>
  <si>
    <t>Cadem Research         (5 estudios de carácter semanal)</t>
  </si>
  <si>
    <t>Como Ud. sabe, el gobierno ha propuesto una serie de reformas a los impuestos, a la educación y a la constitución, que se están discutiendo en la actualidad. En general, ¿Ud. está de acuerdo o en desacuerdo con... Cambiar la Constitución?                                      Independiente de si Ud. está de acuerdo o en desacuerdo, ¿Cree Ud. que el gobierno de Michelle Bachelet será capaz de…? Cambiar la actual Constitución?</t>
  </si>
  <si>
    <t>5 al 30 de Junio de 2014</t>
  </si>
  <si>
    <t xml:space="preserve">Como Ud. sabe, el gobierno ha propuesto una serie de reformas a los impuestos, a la educación y a la constitución, que se están discutiendo en la actualidad. En general, ¿Ud. está de acuerdo o en desacuerdo con... Cambiar la Constitución? Independiente de si Ud. está de acuerdo o en desacuerdo, ¿Cree Ud. que el gobierno de Michelle Bachelet será capaz de…? Cambiar la actual Constitución?                                       </t>
  </si>
  <si>
    <t>Muy de acuerdo</t>
  </si>
  <si>
    <t>De acuerdo</t>
  </si>
  <si>
    <t>Ni de acuerdo ni en desacuerdo</t>
  </si>
  <si>
    <t>En desacuerdo</t>
  </si>
  <si>
    <t>Muy en desacuerdo</t>
  </si>
  <si>
    <t>Que el Congreso decida</t>
  </si>
  <si>
    <t>Que la ciudadanía decida votando</t>
  </si>
  <si>
    <t>Hombre (48.1%)</t>
  </si>
  <si>
    <t>Mujer (51.9%)</t>
  </si>
  <si>
    <t>18 a 29 años (27.3%)</t>
  </si>
  <si>
    <t>30 a 45 años (28.6%)</t>
  </si>
  <si>
    <t>46 a 60 años (25.2%)</t>
  </si>
  <si>
    <t>61 años y más (19.0%)</t>
  </si>
  <si>
    <t>Básica (23.5%)</t>
  </si>
  <si>
    <t>Media (47.6%)</t>
  </si>
  <si>
    <t>Técnico Sup. (20.5%)</t>
  </si>
  <si>
    <t>Universitaria (8.4%)</t>
  </si>
  <si>
    <t>No pertenece a ningún pueblo (94.4%)</t>
  </si>
  <si>
    <t>Izquierda (22.0%)</t>
  </si>
  <si>
    <t>Centro (63.8%)</t>
  </si>
  <si>
    <t>Derecha (14.1%)</t>
  </si>
  <si>
    <t>Moderado (55.0%)</t>
  </si>
  <si>
    <t>Insatisfecho con la Democracia (48.8%)</t>
  </si>
  <si>
    <t>Satisfecho con la Democracia (51.2%)</t>
  </si>
  <si>
    <t>Poco Respeto (20.1%)</t>
  </si>
  <si>
    <t>Respeto Medio (23.4%)</t>
  </si>
  <si>
    <t>Mucho Respeto (56.5%)</t>
  </si>
  <si>
    <t>Bajo Apoyo (23.7%)</t>
  </si>
  <si>
    <t>Apoyo Medio (25.7%)</t>
  </si>
  <si>
    <t>Alto Apoyo (50.6%)</t>
  </si>
  <si>
    <t>Nada (34.8%)</t>
  </si>
  <si>
    <t>Poco (36.6%)</t>
  </si>
  <si>
    <t>Algo (24.1%)</t>
  </si>
  <si>
    <t>Mucho (4.5%)</t>
  </si>
  <si>
    <t>Simpatiza con algún Partido (14.6%)</t>
  </si>
  <si>
    <t>No Simpatiza con algún Partido (85.4%)</t>
  </si>
  <si>
    <t>Sí ha participado (11.4%)</t>
  </si>
  <si>
    <t>No ha participado (88.6%)</t>
  </si>
  <si>
    <t>Satisfecho (38.2%)</t>
  </si>
  <si>
    <t>Insatisfecho (61.8%)</t>
  </si>
  <si>
    <t>Buena (5.4%)</t>
  </si>
  <si>
    <t>Regular (59.3%)</t>
  </si>
  <si>
    <t>Mala (35.3%)</t>
  </si>
  <si>
    <t/>
  </si>
  <si>
    <t>Baja Confianza (32.7%)</t>
  </si>
  <si>
    <t>Confianza Media (50.0%)</t>
  </si>
  <si>
    <t>Alta Confianza (17.3%)</t>
  </si>
  <si>
    <t>Sí Votó (68.2%)</t>
  </si>
  <si>
    <t>No Votó (31.8%)</t>
  </si>
  <si>
    <t>Sí Votaría (63.0%)</t>
  </si>
  <si>
    <t>No Votaría (27.1%)</t>
  </si>
  <si>
    <t>Educación Media</t>
  </si>
  <si>
    <t>Educación Técnica</t>
  </si>
  <si>
    <t>Educación Universitaria</t>
  </si>
  <si>
    <t>Indígena</t>
  </si>
  <si>
    <t>Ideología</t>
  </si>
  <si>
    <t>Poco Interés</t>
  </si>
  <si>
    <t>Algo de Interés</t>
  </si>
  <si>
    <t>Mucho Interés</t>
  </si>
  <si>
    <t>Sí Participó en Protestas</t>
  </si>
  <si>
    <t>Apoya Democracia</t>
  </si>
  <si>
    <t>Respeto Instituciones</t>
  </si>
  <si>
    <t>Apoyo Instituciones</t>
  </si>
  <si>
    <t>N</t>
  </si>
  <si>
    <t>Tabla 3: Modelo de Apoyo a Reforma Constitucional</t>
  </si>
  <si>
    <t>Tabla 4: Probabilidades Predichas de Apoyo a Reformas Constitucionales</t>
  </si>
  <si>
    <t>Variable</t>
  </si>
  <si>
    <t>Muy de Acuerdo</t>
  </si>
  <si>
    <t>Hombre-Mujer</t>
  </si>
  <si>
    <t>Edad: 18 años</t>
  </si>
  <si>
    <t>Edad: 90 años</t>
  </si>
  <si>
    <t>Diferencia Edad</t>
  </si>
  <si>
    <t>Educación Básica</t>
  </si>
  <si>
    <t>Diferencia Educación</t>
  </si>
  <si>
    <t>No Indígena</t>
  </si>
  <si>
    <t xml:space="preserve">Diferencia </t>
  </si>
  <si>
    <t>Ideología: 1 Izquierda</t>
  </si>
  <si>
    <t>Ideología: 10 Derecha</t>
  </si>
  <si>
    <t>Diferencia Ideológica</t>
  </si>
  <si>
    <t>Interés en Política: Nada</t>
  </si>
  <si>
    <t>Interés en Política: Mucho</t>
  </si>
  <si>
    <t>Diferencia Interés</t>
  </si>
  <si>
    <t>No Participó en Protestas</t>
  </si>
  <si>
    <t>Apoyo Democracia: 0</t>
  </si>
  <si>
    <t>Apoyo Democracia: 1</t>
  </si>
  <si>
    <t>Respeto Instituciones: 1</t>
  </si>
  <si>
    <t>Respeto Instituciones: 7</t>
  </si>
  <si>
    <t>Apoyo Instituciones: 1</t>
  </si>
  <si>
    <t>Apoyo Instituciones: 7</t>
  </si>
  <si>
    <t>Nota: Resultados Elaborados en base al Modelo de la Tabla 3. Se consideran los valores mínimos y máximos de cada variable. Los otros valores son fijados a sus medias o modas</t>
  </si>
  <si>
    <t>Fuente: LAPOP, 2012</t>
  </si>
  <si>
    <t>Nada Importante</t>
  </si>
  <si>
    <t>Muy Importante</t>
  </si>
  <si>
    <t>Hombre (50.4%)</t>
  </si>
  <si>
    <t>Mujer (49.6%)</t>
  </si>
  <si>
    <t>18 a 29 años (26.6%)</t>
  </si>
  <si>
    <t>30 a 45 años (31.0%)</t>
  </si>
  <si>
    <t>61 años y más (17.2%)</t>
  </si>
  <si>
    <t>Básica (16.1%)</t>
  </si>
  <si>
    <t>Media (48.5%)</t>
  </si>
  <si>
    <t>Técnica Sup. (16.5%)</t>
  </si>
  <si>
    <t>Universitaria (18.9%)</t>
  </si>
  <si>
    <t>Sí Pertenece (5.8%)</t>
  </si>
  <si>
    <t>No Pertenece (94.2%)</t>
  </si>
  <si>
    <t>Comunalidades</t>
  </si>
  <si>
    <t>Inicial</t>
  </si>
  <si>
    <t>Extracción</t>
  </si>
  <si>
    <t>B13 ¿Hasta qué punto tiene confianza usted en el Parlamento?</t>
  </si>
  <si>
    <t>B21 ¿Hasta qué punto tiene confianza usted en los partidos políticos?</t>
  </si>
  <si>
    <t>B21A ¿Hasta qué punto tiene confianza usted en el presidente?</t>
  </si>
  <si>
    <t>B31 ¿Hasta qué punto tiene usted confianza en la Corte Suprema de Justicia?</t>
  </si>
  <si>
    <t>Método de extracción: Análisis de Componentes principales.</t>
  </si>
  <si>
    <t>KMO y prueba de Bartlett</t>
  </si>
  <si>
    <t>Medida de adecuación muestral de Kaiser-Meyer-Olkin.</t>
  </si>
  <si>
    <t>Prueba de esfericidad de Bartlett</t>
  </si>
  <si>
    <t>Chi-cuadrado aproximado</t>
  </si>
  <si>
    <t>gl</t>
  </si>
  <si>
    <t>Sig.</t>
  </si>
  <si>
    <t>Matrices anti-imagen</t>
  </si>
  <si>
    <t>B10A ¿Hasta qué punto tiene confianza en el sistema de justicia?</t>
  </si>
  <si>
    <t>B11 ¿Hasta qué punto tiene confianza usted en el Servicio Electoral?</t>
  </si>
  <si>
    <t>B12 ¿Hasta qué punto tiene confianza usted en las Fuerzas Armadas?</t>
  </si>
  <si>
    <t>B18 ¿Hasta qué punto tiene confianza usted en los Carabineros de Chile?</t>
  </si>
  <si>
    <t>B32 ¿Hasta qué punto tiene usted confianza en su municipalidad?</t>
  </si>
  <si>
    <t>Covarianza anti-imagen</t>
  </si>
  <si>
    <t>Correlación anti-imagen</t>
  </si>
  <si>
    <t>a. Medida de adecuación muestral</t>
  </si>
  <si>
    <r>
      <t>,911</t>
    </r>
    <r>
      <rPr>
        <vertAlign val="superscript"/>
        <sz val="9"/>
        <color indexed="8"/>
        <rFont val="Arial"/>
        <family val="2"/>
      </rPr>
      <t>a</t>
    </r>
  </si>
  <si>
    <r>
      <t>,943</t>
    </r>
    <r>
      <rPr>
        <vertAlign val="superscript"/>
        <sz val="9"/>
        <color indexed="8"/>
        <rFont val="Arial"/>
        <family val="2"/>
      </rPr>
      <t>a</t>
    </r>
  </si>
  <si>
    <r>
      <t>,881</t>
    </r>
    <r>
      <rPr>
        <vertAlign val="superscript"/>
        <sz val="9"/>
        <color indexed="8"/>
        <rFont val="Arial"/>
        <family val="2"/>
      </rPr>
      <t>a</t>
    </r>
  </si>
  <si>
    <r>
      <t>,914</t>
    </r>
    <r>
      <rPr>
        <vertAlign val="superscript"/>
        <sz val="9"/>
        <color indexed="8"/>
        <rFont val="Arial"/>
        <family val="2"/>
      </rPr>
      <t>a</t>
    </r>
  </si>
  <si>
    <r>
      <t>,887</t>
    </r>
    <r>
      <rPr>
        <vertAlign val="superscript"/>
        <sz val="9"/>
        <color indexed="8"/>
        <rFont val="Arial"/>
        <family val="2"/>
      </rPr>
      <t>a</t>
    </r>
  </si>
  <si>
    <r>
      <t>,908</t>
    </r>
    <r>
      <rPr>
        <vertAlign val="superscript"/>
        <sz val="9"/>
        <color indexed="8"/>
        <rFont val="Arial"/>
        <family val="2"/>
      </rPr>
      <t>a</t>
    </r>
  </si>
  <si>
    <r>
      <t>,913</t>
    </r>
    <r>
      <rPr>
        <vertAlign val="superscript"/>
        <sz val="9"/>
        <color indexed="8"/>
        <rFont val="Arial"/>
        <family val="2"/>
      </rPr>
      <t>a</t>
    </r>
  </si>
  <si>
    <r>
      <t>,898</t>
    </r>
    <r>
      <rPr>
        <vertAlign val="superscript"/>
        <sz val="9"/>
        <color indexed="8"/>
        <rFont val="Arial"/>
        <family val="2"/>
      </rPr>
      <t>a</t>
    </r>
  </si>
  <si>
    <t>Varianza total explicada</t>
  </si>
  <si>
    <t>Componente</t>
  </si>
  <si>
    <t>Autovalores iniciales</t>
  </si>
  <si>
    <t>Sumas de las saturaciones al cuadrado de la extracción</t>
  </si>
  <si>
    <t>% de la varianza</t>
  </si>
  <si>
    <t>% acumulado</t>
  </si>
  <si>
    <t>1</t>
  </si>
  <si>
    <t>2</t>
  </si>
  <si>
    <t>3</t>
  </si>
  <si>
    <t>4</t>
  </si>
  <si>
    <t>5</t>
  </si>
  <si>
    <t>6</t>
  </si>
  <si>
    <t>7</t>
  </si>
  <si>
    <t>8</t>
  </si>
  <si>
    <t>9</t>
  </si>
  <si>
    <t>Método de extracción: Análisis de componentes principales.</t>
  </si>
  <si>
    <t>a. 1 componentes extraídos</t>
  </si>
  <si>
    <r>
      <t>Matriz de componentes</t>
    </r>
    <r>
      <rPr>
        <b/>
        <vertAlign val="superscript"/>
        <sz val="9"/>
        <color indexed="8"/>
        <rFont val="Arial Bold"/>
      </rPr>
      <t>a</t>
    </r>
  </si>
  <si>
    <r>
      <t>,821</t>
    </r>
    <r>
      <rPr>
        <vertAlign val="superscript"/>
        <sz val="9"/>
        <color indexed="8"/>
        <rFont val="Arial"/>
        <family val="2"/>
      </rPr>
      <t>a</t>
    </r>
  </si>
  <si>
    <r>
      <t>,822</t>
    </r>
    <r>
      <rPr>
        <vertAlign val="superscript"/>
        <sz val="9"/>
        <color indexed="8"/>
        <rFont val="Arial"/>
        <family val="2"/>
      </rPr>
      <t>a</t>
    </r>
  </si>
  <si>
    <r>
      <t>,832</t>
    </r>
    <r>
      <rPr>
        <vertAlign val="superscript"/>
        <sz val="9"/>
        <color indexed="8"/>
        <rFont val="Arial"/>
        <family val="2"/>
      </rPr>
      <t>a</t>
    </r>
  </si>
  <si>
    <r>
      <t>,787</t>
    </r>
    <r>
      <rPr>
        <vertAlign val="superscript"/>
        <sz val="9"/>
        <color indexed="8"/>
        <rFont val="Arial"/>
        <family val="2"/>
      </rPr>
      <t>a</t>
    </r>
  </si>
  <si>
    <t>Resumen del procesamiento de los casos</t>
  </si>
  <si>
    <t>%</t>
  </si>
  <si>
    <t>Casos</t>
  </si>
  <si>
    <t>Válidos</t>
  </si>
  <si>
    <t>Ponderado por la variable Peso del país</t>
  </si>
  <si>
    <t>a. Eliminación por lista basada en todas las variables del procedimiento.</t>
  </si>
  <si>
    <r>
      <t>Excluidos</t>
    </r>
    <r>
      <rPr>
        <vertAlign val="superscript"/>
        <sz val="9"/>
        <color indexed="8"/>
        <rFont val="Arial"/>
        <family val="2"/>
      </rPr>
      <t>a</t>
    </r>
  </si>
  <si>
    <t>Estadísticos de fiabilidad</t>
  </si>
  <si>
    <t>Alfa de Cronbach</t>
  </si>
  <si>
    <t>Alfa de Cronbach basada en los elementos tipificados</t>
  </si>
  <si>
    <t>N de elementos</t>
  </si>
  <si>
    <t>Estadísticos de resumen de los elementos</t>
  </si>
  <si>
    <t>Media</t>
  </si>
  <si>
    <t>Mínimo</t>
  </si>
  <si>
    <t>Máximo</t>
  </si>
  <si>
    <t>Rango</t>
  </si>
  <si>
    <t>Máximo/mínimo</t>
  </si>
  <si>
    <t>Varianza</t>
  </si>
  <si>
    <t>Medias de los elementos</t>
  </si>
  <si>
    <t>Varianzas de los elementos</t>
  </si>
  <si>
    <t>Covarianzas inter-elementos</t>
  </si>
  <si>
    <t>Correlaciones inter-elementos</t>
  </si>
  <si>
    <t>Estadísticos total-elemento</t>
  </si>
  <si>
    <t>Media de la escala si se elimina el elemento</t>
  </si>
  <si>
    <t>Varianza de la escala si se elimina el elemento</t>
  </si>
  <si>
    <t>Correlación elemento-total corregida</t>
  </si>
  <si>
    <t>Correlación múltiple al cuadrado</t>
  </si>
  <si>
    <t>Alfa de Cronbach si se elimina el elemento</t>
  </si>
  <si>
    <t>Primero se eliminan no instituciones políticas (otra dimensión) y poca relevancia política (medios de comunicación e Iglesias)</t>
  </si>
  <si>
    <t>P21.- Utilizando las alternativas de esta tarjeta,   ¿Cuánta confianza tiene usted en las instituciones que le voy a nombrar? 4.- EL GOBIERNO</t>
  </si>
  <si>
    <t>P21.- Utilizando las alternativas de esta tarjeta,   ¿Cuánta confianza tiene usted en las instituciones que le voy a nombrar? 5.- EL CONGRESO</t>
  </si>
  <si>
    <t>P21.- Utilizando las alternativas de esta tarjeta,   ¿Cuánta confianza tiene usted en las instituciones que le voy a nombrar? 6.- LOS PARTIDOS POLITICOS</t>
  </si>
  <si>
    <t>P21.- Utilizando las alternativas de esta tarjeta,   ¿Cuánta confianza tiene usted en las instituciones que le voy a nombrar? 7.- LOS TRIBUNALES DE JUSTICIA</t>
  </si>
  <si>
    <t>P21.- Utilizando las alternativas de esta tarjeta,   ¿Cuánta confianza tiene usted en las instituciones que le voy a nombrar? 10.- LAS FUERZAS ARMADAS</t>
  </si>
  <si>
    <t>P21.- Utilizando las alternativas de esta tarjeta,   ¿Cuánta confianza tiene usted en las instituciones que le voy a nombrar? 11.- LOS CARABINEROS DE CHILE</t>
  </si>
  <si>
    <t>P21.- Utilizando las alternativas de esta tarjeta,   ¿Cuánta confianza tiene usted en las instituciones que le voy a nombrar? 12.- LA MUNICIPALIDAD DE SU COMUNA</t>
  </si>
  <si>
    <r>
      <t>,858</t>
    </r>
    <r>
      <rPr>
        <vertAlign val="superscript"/>
        <sz val="9"/>
        <color indexed="8"/>
        <rFont val="Arial"/>
        <family val="2"/>
      </rPr>
      <t>a</t>
    </r>
  </si>
  <si>
    <r>
      <t>,720</t>
    </r>
    <r>
      <rPr>
        <vertAlign val="superscript"/>
        <sz val="9"/>
        <color indexed="8"/>
        <rFont val="Arial"/>
        <family val="2"/>
      </rPr>
      <t>a</t>
    </r>
  </si>
  <si>
    <r>
      <t>,748</t>
    </r>
    <r>
      <rPr>
        <vertAlign val="superscript"/>
        <sz val="9"/>
        <color indexed="8"/>
        <rFont val="Arial"/>
        <family val="2"/>
      </rPr>
      <t>a</t>
    </r>
  </si>
  <si>
    <r>
      <t>,854</t>
    </r>
    <r>
      <rPr>
        <vertAlign val="superscript"/>
        <sz val="9"/>
        <color indexed="8"/>
        <rFont val="Arial"/>
        <family val="2"/>
      </rPr>
      <t>a</t>
    </r>
  </si>
  <si>
    <r>
      <t>,815</t>
    </r>
    <r>
      <rPr>
        <vertAlign val="superscript"/>
        <sz val="9"/>
        <color indexed="8"/>
        <rFont val="Arial"/>
        <family val="2"/>
      </rPr>
      <t>a</t>
    </r>
  </si>
  <si>
    <r>
      <t>,721</t>
    </r>
    <r>
      <rPr>
        <vertAlign val="superscript"/>
        <sz val="9"/>
        <color indexed="8"/>
        <rFont val="Arial"/>
        <family val="2"/>
      </rPr>
      <t>a</t>
    </r>
  </si>
  <si>
    <r>
      <t>,768</t>
    </r>
    <r>
      <rPr>
        <vertAlign val="superscript"/>
        <sz val="9"/>
        <color indexed="8"/>
        <rFont val="Arial"/>
        <family val="2"/>
      </rPr>
      <t>a</t>
    </r>
  </si>
  <si>
    <t>Suma de las saturaciones al cuadrado de la rotación</t>
  </si>
  <si>
    <t>a. 2 componentes extraídos</t>
  </si>
  <si>
    <t>Método de extracción: Análisis de componentes principales. 
 Método de rotación: Normalización Varimax con Kaiser.</t>
  </si>
  <si>
    <t>a. La rotación ha convergido en 3 iteraciones.</t>
  </si>
  <si>
    <r>
      <t>Matriz de componentes rotados</t>
    </r>
    <r>
      <rPr>
        <b/>
        <vertAlign val="superscript"/>
        <sz val="9"/>
        <color indexed="8"/>
        <rFont val="Arial Bold"/>
      </rPr>
      <t>a</t>
    </r>
  </si>
  <si>
    <t>Matriz de transformación de las componentes</t>
  </si>
  <si>
    <t>Método de extracción: Análisis de componentes principales.  
 Método de rotación: Normalización Varimax con Kaiser.</t>
  </si>
  <si>
    <r>
      <t>,792</t>
    </r>
    <r>
      <rPr>
        <vertAlign val="superscript"/>
        <sz val="9"/>
        <color indexed="8"/>
        <rFont val="Arial"/>
        <family val="2"/>
      </rPr>
      <t>a</t>
    </r>
  </si>
  <si>
    <r>
      <t>,663</t>
    </r>
    <r>
      <rPr>
        <vertAlign val="superscript"/>
        <sz val="9"/>
        <color indexed="8"/>
        <rFont val="Arial"/>
        <family val="2"/>
      </rPr>
      <t>a</t>
    </r>
  </si>
  <si>
    <r>
      <t>,697</t>
    </r>
    <r>
      <rPr>
        <vertAlign val="superscript"/>
        <sz val="9"/>
        <color indexed="8"/>
        <rFont val="Arial"/>
        <family val="2"/>
      </rPr>
      <t>a</t>
    </r>
  </si>
  <si>
    <r>
      <t>,819</t>
    </r>
    <r>
      <rPr>
        <vertAlign val="superscript"/>
        <sz val="9"/>
        <color indexed="8"/>
        <rFont val="Arial"/>
        <family val="2"/>
      </rPr>
      <t>a</t>
    </r>
  </si>
  <si>
    <t>Ponderado por la variable PONDERADOR MUESTRAL</t>
  </si>
  <si>
    <t>Izquierda (15.0%)</t>
  </si>
  <si>
    <t>Centro (48.3%)</t>
  </si>
  <si>
    <t>Derecha (9.2%)</t>
  </si>
  <si>
    <t>Ninguno (27.4%)</t>
  </si>
  <si>
    <t>Nada (41.3%)</t>
  </si>
  <si>
    <t>Poco (30.2%)</t>
  </si>
  <si>
    <t>Algo (19.2%)</t>
  </si>
  <si>
    <t>Mucho (9.3%)</t>
  </si>
  <si>
    <t>Baja Confianza (61.4%)</t>
  </si>
  <si>
    <t>Confianza Media (35.8%)</t>
  </si>
  <si>
    <t>Alta Confianza (2.9%)</t>
  </si>
  <si>
    <t>Apoya Gratuidad Total (43.9%)</t>
  </si>
  <si>
    <t>Apoya Gratuidad para Pobres (56.1%)</t>
  </si>
  <si>
    <t>Acepta Lucro en Educación (35.3%)</t>
  </si>
  <si>
    <t>Rechaza Lucro en Educación (64.7%)</t>
  </si>
  <si>
    <t>Sí (78.2%)</t>
  </si>
  <si>
    <t>No (21.8%)</t>
  </si>
  <si>
    <t>Sí Votó (52.2%)</t>
  </si>
  <si>
    <t>No Votó(47.8%)</t>
  </si>
  <si>
    <t>Alternativa</t>
  </si>
  <si>
    <t>Tabla de contingencia CHI60 Últimamente, se ha planteado una discusión respecto a la necesidad de que * CHI2 [Recoger tarjeta A y entregar tarjeta A1] Otra forma de situarse políticame</t>
  </si>
  <si>
    <t>Recuento</t>
  </si>
  <si>
    <t>CHI2 [Recoger tarjeta A y entregar tarjeta A1] Otra forma de situarse políticame</t>
  </si>
  <si>
    <t>1 Conservador</t>
  </si>
  <si>
    <t>10 Liberal</t>
  </si>
  <si>
    <t>CHI60 Últimamente, se ha planteado una discusión respecto a la necesidad de que</t>
  </si>
  <si>
    <t>Conservador (17.1%)</t>
  </si>
  <si>
    <t>Liberal (27.9%)</t>
  </si>
  <si>
    <r>
      <t>(</t>
    </r>
    <r>
      <rPr>
        <sz val="12"/>
        <color rgb="FF000000"/>
        <rFont val="Times New Roman"/>
        <family val="1"/>
      </rPr>
      <t>-0.048</t>
    </r>
    <r>
      <rPr>
        <sz val="12"/>
        <color rgb="FFFFFFFF"/>
        <rFont val="Times New Roman"/>
        <family val="1"/>
      </rPr>
      <t>) ***</t>
    </r>
  </si>
  <si>
    <r>
      <t>-</t>
    </r>
    <r>
      <rPr>
        <sz val="12"/>
        <color rgb="FF000000"/>
        <rFont val="Times New Roman"/>
        <family val="1"/>
      </rPr>
      <t>(0.147)</t>
    </r>
    <r>
      <rPr>
        <sz val="12"/>
        <color rgb="FFFFFFFF"/>
        <rFont val="Times New Roman"/>
        <family val="1"/>
      </rPr>
      <t xml:space="preserve"> ***</t>
    </r>
  </si>
  <si>
    <r>
      <t>(-</t>
    </r>
    <r>
      <rPr>
        <sz val="12"/>
        <color rgb="FF000000"/>
        <rFont val="Times New Roman"/>
        <family val="1"/>
      </rPr>
      <t>0.009</t>
    </r>
    <r>
      <rPr>
        <sz val="12"/>
        <color rgb="FFFFFFFF"/>
        <rFont val="Times New Roman"/>
        <family val="1"/>
      </rPr>
      <t>) ***</t>
    </r>
  </si>
  <si>
    <r>
      <t>-</t>
    </r>
    <r>
      <rPr>
        <sz val="12"/>
        <color rgb="FF000000"/>
        <rFont val="Times New Roman"/>
        <family val="1"/>
      </rPr>
      <t xml:space="preserve"> (0.005)</t>
    </r>
    <r>
      <rPr>
        <sz val="12"/>
        <color rgb="FFFFFFFF"/>
        <rFont val="Times New Roman"/>
        <family val="1"/>
      </rPr>
      <t xml:space="preserve"> ***</t>
    </r>
  </si>
  <si>
    <r>
      <t>(</t>
    </r>
    <r>
      <rPr>
        <sz val="12"/>
        <color rgb="FF000000"/>
        <rFont val="Times New Roman"/>
        <family val="1"/>
      </rPr>
      <t>-0.034</t>
    </r>
    <r>
      <rPr>
        <sz val="12"/>
        <color rgb="FFFFFFFF"/>
        <rFont val="Times New Roman"/>
        <family val="1"/>
      </rPr>
      <t>) ***</t>
    </r>
  </si>
  <si>
    <r>
      <t>-</t>
    </r>
    <r>
      <rPr>
        <sz val="12"/>
        <color rgb="FF000000"/>
        <rFont val="Times New Roman"/>
        <family val="1"/>
      </rPr>
      <t xml:space="preserve"> (0.189)</t>
    </r>
    <r>
      <rPr>
        <sz val="12"/>
        <color rgb="FFFFFFFF"/>
        <rFont val="Times New Roman"/>
        <family val="1"/>
      </rPr>
      <t xml:space="preserve"> ***</t>
    </r>
  </si>
  <si>
    <r>
      <t>(-</t>
    </r>
    <r>
      <rPr>
        <sz val="12"/>
        <color rgb="FF000000"/>
        <rFont val="Times New Roman"/>
        <family val="1"/>
      </rPr>
      <t>0.508</t>
    </r>
    <r>
      <rPr>
        <sz val="12"/>
        <color rgb="FFFFFFFF"/>
        <rFont val="Times New Roman"/>
        <family val="1"/>
      </rPr>
      <t>) ***</t>
    </r>
  </si>
  <si>
    <r>
      <t>-</t>
    </r>
    <r>
      <rPr>
        <sz val="12"/>
        <color rgb="FF000000"/>
        <rFont val="Times New Roman"/>
        <family val="1"/>
      </rPr>
      <t xml:space="preserve"> (0.292)</t>
    </r>
    <r>
      <rPr>
        <sz val="12"/>
        <color rgb="FFFFFFFF"/>
        <rFont val="Times New Roman"/>
        <family val="1"/>
      </rPr>
      <t xml:space="preserve"> ***</t>
    </r>
  </si>
  <si>
    <r>
      <t>(-</t>
    </r>
    <r>
      <rPr>
        <sz val="12"/>
        <color rgb="FF000000"/>
        <rFont val="Times New Roman"/>
        <family val="1"/>
      </rPr>
      <t>0.743**</t>
    </r>
    <r>
      <rPr>
        <sz val="12"/>
        <color rgb="FFFFFFFF"/>
        <rFont val="Times New Roman"/>
        <family val="1"/>
      </rPr>
      <t>*)</t>
    </r>
  </si>
  <si>
    <r>
      <t>-</t>
    </r>
    <r>
      <rPr>
        <sz val="12"/>
        <color rgb="FF000000"/>
        <rFont val="Times New Roman"/>
        <family val="1"/>
      </rPr>
      <t xml:space="preserve"> (0.247)</t>
    </r>
    <r>
      <rPr>
        <sz val="12"/>
        <color rgb="FFFFFFFF"/>
        <rFont val="Times New Roman"/>
        <family val="1"/>
      </rPr>
      <t xml:space="preserve"> ***</t>
    </r>
  </si>
  <si>
    <r>
      <t>(</t>
    </r>
    <r>
      <rPr>
        <sz val="12"/>
        <color rgb="FF000000"/>
        <rFont val="Times New Roman"/>
        <family val="1"/>
      </rPr>
      <t>-0.082</t>
    </r>
    <r>
      <rPr>
        <sz val="12"/>
        <color rgb="FFFFFFFF"/>
        <rFont val="Times New Roman"/>
        <family val="1"/>
      </rPr>
      <t>) ***</t>
    </r>
  </si>
  <si>
    <r>
      <t>-</t>
    </r>
    <r>
      <rPr>
        <sz val="12"/>
        <color rgb="FF000000"/>
        <rFont val="Times New Roman"/>
        <family val="1"/>
      </rPr>
      <t xml:space="preserve"> (0.323)</t>
    </r>
    <r>
      <rPr>
        <sz val="12"/>
        <color rgb="FFFFFFFF"/>
        <rFont val="Times New Roman"/>
        <family val="1"/>
      </rPr>
      <t xml:space="preserve"> ***</t>
    </r>
  </si>
  <si>
    <r>
      <t>(</t>
    </r>
    <r>
      <rPr>
        <sz val="12"/>
        <color rgb="FF000000"/>
        <rFont val="Times New Roman"/>
        <family val="1"/>
      </rPr>
      <t>-0.087**</t>
    </r>
    <r>
      <rPr>
        <sz val="12"/>
        <color rgb="FFFFFFFF"/>
        <rFont val="Times New Roman"/>
        <family val="1"/>
      </rPr>
      <t>*)</t>
    </r>
  </si>
  <si>
    <r>
      <t>-</t>
    </r>
    <r>
      <rPr>
        <sz val="12"/>
        <color rgb="FF000000"/>
        <rFont val="Times New Roman"/>
        <family val="1"/>
      </rPr>
      <t xml:space="preserve"> (0.032)</t>
    </r>
    <r>
      <rPr>
        <sz val="12"/>
        <color rgb="FFFFFFFF"/>
        <rFont val="Times New Roman"/>
        <family val="1"/>
      </rPr>
      <t xml:space="preserve"> ***</t>
    </r>
  </si>
  <si>
    <r>
      <t>(-</t>
    </r>
    <r>
      <rPr>
        <sz val="12"/>
        <color rgb="FF000000"/>
        <rFont val="Times New Roman"/>
        <family val="1"/>
      </rPr>
      <t>0.849***</t>
    </r>
    <r>
      <rPr>
        <sz val="12"/>
        <color rgb="FFFFFFFF"/>
        <rFont val="Times New Roman"/>
        <family val="1"/>
      </rPr>
      <t>)</t>
    </r>
  </si>
  <si>
    <r>
      <t>-</t>
    </r>
    <r>
      <rPr>
        <sz val="12"/>
        <color rgb="FF000000"/>
        <rFont val="Times New Roman"/>
        <family val="1"/>
      </rPr>
      <t xml:space="preserve"> (0.168)</t>
    </r>
    <r>
      <rPr>
        <sz val="12"/>
        <color rgb="FFFFFFFF"/>
        <rFont val="Times New Roman"/>
        <family val="1"/>
      </rPr>
      <t xml:space="preserve"> ***</t>
    </r>
  </si>
  <si>
    <r>
      <t>(-</t>
    </r>
    <r>
      <rPr>
        <sz val="12"/>
        <color rgb="FF000000"/>
        <rFont val="Times New Roman"/>
        <family val="1"/>
      </rPr>
      <t>0.036</t>
    </r>
    <r>
      <rPr>
        <sz val="12"/>
        <color rgb="FFFFFFFF"/>
        <rFont val="Times New Roman"/>
        <family val="1"/>
      </rPr>
      <t>) ***</t>
    </r>
  </si>
  <si>
    <r>
      <t>-</t>
    </r>
    <r>
      <rPr>
        <sz val="12"/>
        <color rgb="FF000000"/>
        <rFont val="Times New Roman"/>
        <family val="1"/>
      </rPr>
      <t xml:space="preserve"> (0.056)</t>
    </r>
    <r>
      <rPr>
        <sz val="12"/>
        <color rgb="FFFFFFFF"/>
        <rFont val="Times New Roman"/>
        <family val="1"/>
      </rPr>
      <t xml:space="preserve"> ***</t>
    </r>
  </si>
  <si>
    <r>
      <t>(-</t>
    </r>
    <r>
      <rPr>
        <sz val="12"/>
        <color rgb="FF000000"/>
        <rFont val="Times New Roman"/>
        <family val="1"/>
      </rPr>
      <t>0.048</t>
    </r>
    <r>
      <rPr>
        <sz val="12"/>
        <color rgb="FFFFFFFF"/>
        <rFont val="Times New Roman"/>
        <family val="1"/>
      </rPr>
      <t>) ***</t>
    </r>
  </si>
  <si>
    <r>
      <t>-</t>
    </r>
    <r>
      <rPr>
        <sz val="12"/>
        <color rgb="FF000000"/>
        <rFont val="Times New Roman"/>
        <family val="1"/>
      </rPr>
      <t xml:space="preserve"> (0.060)</t>
    </r>
    <r>
      <rPr>
        <sz val="12"/>
        <color rgb="FFFFFFFF"/>
        <rFont val="Times New Roman"/>
        <family val="1"/>
      </rPr>
      <t xml:space="preserve"> ***</t>
    </r>
  </si>
  <si>
    <t>Confianza Instituciones</t>
  </si>
  <si>
    <r>
      <t>(</t>
    </r>
    <r>
      <rPr>
        <sz val="12"/>
        <color rgb="FF000000"/>
        <rFont val="Times New Roman"/>
        <family val="1"/>
      </rPr>
      <t>-0.058</t>
    </r>
    <r>
      <rPr>
        <sz val="12"/>
        <color rgb="FFFFFFFF"/>
        <rFont val="Times New Roman"/>
        <family val="1"/>
      </rPr>
      <t>) ***</t>
    </r>
  </si>
  <si>
    <r>
      <t>-</t>
    </r>
    <r>
      <rPr>
        <sz val="12"/>
        <color rgb="FF000000"/>
        <rFont val="Times New Roman"/>
        <family val="1"/>
      </rPr>
      <t xml:space="preserve"> (0.126)</t>
    </r>
    <r>
      <rPr>
        <sz val="12"/>
        <color rgb="FFFFFFFF"/>
        <rFont val="Times New Roman"/>
        <family val="1"/>
      </rPr>
      <t xml:space="preserve"> ***</t>
    </r>
  </si>
  <si>
    <r>
      <t>((-</t>
    </r>
    <r>
      <rPr>
        <sz val="12"/>
        <color rgb="FF000000"/>
        <rFont val="Times New Roman"/>
        <family val="1"/>
      </rPr>
      <t>0.257</t>
    </r>
    <r>
      <rPr>
        <sz val="12"/>
        <color rgb="FFFFFFFF"/>
        <rFont val="Times New Roman"/>
        <family val="1"/>
      </rPr>
      <t>) ***</t>
    </r>
  </si>
  <si>
    <r>
      <t>-</t>
    </r>
    <r>
      <rPr>
        <sz val="12"/>
        <color rgb="FF000000"/>
        <rFont val="Times New Roman"/>
        <family val="1"/>
      </rPr>
      <t xml:space="preserve"> (0.183)</t>
    </r>
    <r>
      <rPr>
        <sz val="12"/>
        <color rgb="FFFFFFFF"/>
        <rFont val="Times New Roman"/>
        <family val="1"/>
      </rPr>
      <t xml:space="preserve"> ***</t>
    </r>
  </si>
  <si>
    <r>
      <t>-(</t>
    </r>
    <r>
      <rPr>
        <sz val="12"/>
        <color rgb="FF000000"/>
        <rFont val="Times New Roman"/>
        <family val="1"/>
      </rPr>
      <t>0.355</t>
    </r>
    <r>
      <rPr>
        <sz val="12"/>
        <color rgb="FFFFFFFF"/>
        <rFont val="Times New Roman"/>
        <family val="1"/>
      </rPr>
      <t>) ***</t>
    </r>
  </si>
  <si>
    <r>
      <t>-</t>
    </r>
    <r>
      <rPr>
        <sz val="12"/>
        <color rgb="FF000000"/>
        <rFont val="Times New Roman"/>
        <family val="1"/>
      </rPr>
      <t xml:space="preserve"> (0.212)</t>
    </r>
    <r>
      <rPr>
        <sz val="12"/>
        <color rgb="FFFFFFFF"/>
        <rFont val="Times New Roman"/>
        <family val="1"/>
      </rPr>
      <t xml:space="preserve"> ***</t>
    </r>
  </si>
  <si>
    <r>
      <t>-(</t>
    </r>
    <r>
      <rPr>
        <sz val="12"/>
        <color rgb="FF000000"/>
        <rFont val="Times New Roman"/>
        <family val="1"/>
      </rPr>
      <t>1.021**</t>
    </r>
    <r>
      <rPr>
        <sz val="12"/>
        <color rgb="FFFFFFFF"/>
        <rFont val="Times New Roman"/>
        <family val="1"/>
      </rPr>
      <t>**</t>
    </r>
  </si>
  <si>
    <r>
      <t>-</t>
    </r>
    <r>
      <rPr>
        <sz val="12"/>
        <color rgb="FF000000"/>
        <rFont val="Times New Roman"/>
        <family val="1"/>
      </rPr>
      <t xml:space="preserve"> (0.381)</t>
    </r>
    <r>
      <rPr>
        <sz val="12"/>
        <color rgb="FFFFFFFF"/>
        <rFont val="Times New Roman"/>
        <family val="1"/>
      </rPr>
      <t xml:space="preserve"> ***</t>
    </r>
  </si>
  <si>
    <t>Simpatía con Partidos</t>
  </si>
  <si>
    <r>
      <t>-(</t>
    </r>
    <r>
      <rPr>
        <sz val="12"/>
        <color rgb="FF000000"/>
        <rFont val="Times New Roman"/>
        <family val="1"/>
      </rPr>
      <t>0.336</t>
    </r>
    <r>
      <rPr>
        <sz val="12"/>
        <color rgb="FFFFFFFF"/>
        <rFont val="Times New Roman"/>
        <family val="1"/>
      </rPr>
      <t>) ***</t>
    </r>
  </si>
  <si>
    <r>
      <t>-</t>
    </r>
    <r>
      <rPr>
        <sz val="12"/>
        <color rgb="FF000000"/>
        <rFont val="Times New Roman"/>
        <family val="1"/>
      </rPr>
      <t xml:space="preserve"> (0.197)</t>
    </r>
    <r>
      <rPr>
        <sz val="12"/>
        <color rgb="FFFFFFFF"/>
        <rFont val="Times New Roman"/>
        <family val="1"/>
      </rPr>
      <t xml:space="preserve"> ***</t>
    </r>
  </si>
  <si>
    <r>
      <t>-(</t>
    </r>
    <r>
      <rPr>
        <sz val="12"/>
        <color rgb="FF000000"/>
        <rFont val="Times New Roman"/>
        <family val="1"/>
      </rPr>
      <t>0.242</t>
    </r>
    <r>
      <rPr>
        <sz val="12"/>
        <color rgb="FFFFFFFF"/>
        <rFont val="Times New Roman"/>
        <family val="1"/>
      </rPr>
      <t>) ***</t>
    </r>
  </si>
  <si>
    <r>
      <t>-</t>
    </r>
    <r>
      <rPr>
        <sz val="12"/>
        <color rgb="FF000000"/>
        <rFont val="Times New Roman"/>
        <family val="1"/>
      </rPr>
      <t xml:space="preserve"> (0.244)</t>
    </r>
    <r>
      <rPr>
        <sz val="12"/>
        <color rgb="FFFFFFFF"/>
        <rFont val="Times New Roman"/>
        <family val="1"/>
      </rPr>
      <t xml:space="preserve"> ***</t>
    </r>
  </si>
  <si>
    <t>Participación Electoral: Sí</t>
  </si>
  <si>
    <r>
      <t>(</t>
    </r>
    <r>
      <rPr>
        <sz val="12"/>
        <color rgb="FF000000"/>
        <rFont val="Times New Roman"/>
        <family val="1"/>
      </rPr>
      <t>-0.385*</t>
    </r>
    <r>
      <rPr>
        <sz val="12"/>
        <color rgb="FFFFFFFF"/>
        <rFont val="Times New Roman"/>
        <family val="1"/>
      </rPr>
      <t>)**</t>
    </r>
  </si>
  <si>
    <r>
      <t>-</t>
    </r>
    <r>
      <rPr>
        <sz val="12"/>
        <color rgb="FF000000"/>
        <rFont val="Times New Roman"/>
        <family val="1"/>
      </rPr>
      <t xml:space="preserve"> (0.187)</t>
    </r>
    <r>
      <rPr>
        <sz val="12"/>
        <color rgb="FFFFFFFF"/>
        <rFont val="Times New Roman"/>
        <family val="1"/>
      </rPr>
      <t xml:space="preserve"> ***</t>
    </r>
  </si>
  <si>
    <t>--------------------------------------------------------------------------------------</t>
  </si>
  <si>
    <r>
      <t>Pseudo R</t>
    </r>
    <r>
      <rPr>
        <vertAlign val="superscript"/>
        <sz val="12"/>
        <color rgb="FF000000"/>
        <rFont val="Times New Roman"/>
        <family val="1"/>
      </rPr>
      <t>2</t>
    </r>
  </si>
  <si>
    <t>Nota: Modelo Logit Ordinal.                                        Significancia Estadística: ***= 0.001; **=0.01; *=0.05</t>
  </si>
  <si>
    <r>
      <t>Fuente:</t>
    </r>
    <r>
      <rPr>
        <sz val="12"/>
        <color rgb="FF000000"/>
        <rFont val="Times New Roman"/>
        <family val="1"/>
      </rPr>
      <t xml:space="preserve"> LAPOP,2012</t>
    </r>
  </si>
  <si>
    <t>Diferencia</t>
  </si>
  <si>
    <t>Índice Confianza Ajustado: 1</t>
  </si>
  <si>
    <t>Índice Confianza Ajustado: 3</t>
  </si>
  <si>
    <t>Interés Política: Nada</t>
  </si>
  <si>
    <t>Interés Política: Mucho</t>
  </si>
  <si>
    <t>No Simpatiza con Partido</t>
  </si>
  <si>
    <t>Sí Simpatiza con Partido</t>
  </si>
  <si>
    <t>No Votó en 2009</t>
  </si>
  <si>
    <t>Sí Votó en 2009</t>
  </si>
  <si>
    <t>Probablemente No Votará (18.1%)</t>
  </si>
  <si>
    <t>Inseguro de Votar (30.0%)</t>
  </si>
  <si>
    <t>Probablemente Votará (51.9%)</t>
  </si>
  <si>
    <t>Probablemente Votará (70.0%)</t>
  </si>
  <si>
    <t>Sí Simpatiza (23.2%)</t>
  </si>
  <si>
    <t>No Simpatiza (76.8%)</t>
  </si>
  <si>
    <t>Interés en la Poítica: Nada</t>
  </si>
  <si>
    <t>Interés en la Política: Mucho</t>
  </si>
  <si>
    <t>Simpatía con Partidos: No</t>
  </si>
  <si>
    <t>Simpatía con Partidos: Sí</t>
  </si>
  <si>
    <t>Índice Confianza Instituciones: 1</t>
  </si>
  <si>
    <t>Índice Confianza Instituciones: 3</t>
  </si>
  <si>
    <t>Votará: No</t>
  </si>
  <si>
    <t>Votará: Sí</t>
  </si>
  <si>
    <r>
      <rPr>
        <b/>
        <sz val="11"/>
        <color theme="1"/>
        <rFont val="Times New Roman"/>
        <family val="1"/>
      </rPr>
      <t>Fuente:</t>
    </r>
    <r>
      <rPr>
        <sz val="11"/>
        <color theme="1"/>
        <rFont val="Times New Roman"/>
        <family val="1"/>
      </rPr>
      <t xml:space="preserve"> LAPOP, 2012</t>
    </r>
  </si>
  <si>
    <t>Tabla 6: Probabilidades Predichas de Apoyo a Nueva Constitución según Variables Claves</t>
  </si>
  <si>
    <t>Tabla 5: Modelo de Importancia a Nueva Constitución</t>
  </si>
  <si>
    <r>
      <t>(</t>
    </r>
    <r>
      <rPr>
        <sz val="12"/>
        <color rgb="FF000000"/>
        <rFont val="Times New Roman"/>
        <family val="1"/>
      </rPr>
      <t>-0.103</t>
    </r>
    <r>
      <rPr>
        <sz val="12"/>
        <color rgb="FFFFFFFF"/>
        <rFont val="Times New Roman"/>
        <family val="1"/>
      </rPr>
      <t>***)</t>
    </r>
  </si>
  <si>
    <r>
      <t>-</t>
    </r>
    <r>
      <rPr>
        <sz val="12"/>
        <color rgb="FF000000"/>
        <rFont val="Times New Roman"/>
        <family val="1"/>
      </rPr>
      <t>(0.139)</t>
    </r>
    <r>
      <rPr>
        <sz val="12"/>
        <color rgb="FFFFFFFF"/>
        <rFont val="Times New Roman"/>
        <family val="1"/>
      </rPr>
      <t xml:space="preserve"> ***</t>
    </r>
  </si>
  <si>
    <r>
      <t>(</t>
    </r>
    <r>
      <rPr>
        <sz val="12"/>
        <color rgb="FF000000"/>
        <rFont val="Times New Roman"/>
        <family val="1"/>
      </rPr>
      <t>-0.002</t>
    </r>
    <r>
      <rPr>
        <sz val="12"/>
        <color rgb="FFFFFFFF"/>
        <rFont val="Times New Roman"/>
        <family val="1"/>
      </rPr>
      <t>***)</t>
    </r>
  </si>
  <si>
    <r>
      <t>-</t>
    </r>
    <r>
      <rPr>
        <sz val="12"/>
        <color rgb="FF000000"/>
        <rFont val="Times New Roman"/>
        <family val="1"/>
      </rPr>
      <t>(0.004)</t>
    </r>
    <r>
      <rPr>
        <sz val="12"/>
        <color rgb="FFFFFFFF"/>
        <rFont val="Times New Roman"/>
        <family val="1"/>
      </rPr>
      <t xml:space="preserve"> ***</t>
    </r>
  </si>
  <si>
    <r>
      <t>(-</t>
    </r>
    <r>
      <rPr>
        <sz val="12"/>
        <color rgb="FF000000"/>
        <rFont val="Times New Roman"/>
        <family val="1"/>
      </rPr>
      <t>0.035</t>
    </r>
    <r>
      <rPr>
        <sz val="12"/>
        <color rgb="FFFFFFFF"/>
        <rFont val="Times New Roman"/>
        <family val="1"/>
      </rPr>
      <t>) ***</t>
    </r>
  </si>
  <si>
    <r>
      <t>-</t>
    </r>
    <r>
      <rPr>
        <sz val="12"/>
        <color rgb="FF000000"/>
        <rFont val="Times New Roman"/>
        <family val="1"/>
      </rPr>
      <t>(0.201)</t>
    </r>
    <r>
      <rPr>
        <sz val="12"/>
        <color rgb="FFFFFFFF"/>
        <rFont val="Times New Roman"/>
        <family val="1"/>
      </rPr>
      <t xml:space="preserve"> ***</t>
    </r>
  </si>
  <si>
    <r>
      <t>(</t>
    </r>
    <r>
      <rPr>
        <sz val="12"/>
        <color rgb="FF000000"/>
        <rFont val="Times New Roman"/>
        <family val="1"/>
      </rPr>
      <t>-0.146</t>
    </r>
    <r>
      <rPr>
        <sz val="12"/>
        <color rgb="FFFFFFFF"/>
        <rFont val="Times New Roman"/>
        <family val="1"/>
      </rPr>
      <t>) ***</t>
    </r>
  </si>
  <si>
    <r>
      <t>-</t>
    </r>
    <r>
      <rPr>
        <sz val="12"/>
        <color rgb="FF000000"/>
        <rFont val="Times New Roman"/>
        <family val="1"/>
      </rPr>
      <t>(0.260)</t>
    </r>
    <r>
      <rPr>
        <sz val="12"/>
        <color rgb="FFFFFFFF"/>
        <rFont val="Times New Roman"/>
        <family val="1"/>
      </rPr>
      <t xml:space="preserve"> ***</t>
    </r>
  </si>
  <si>
    <r>
      <t>(-</t>
    </r>
    <r>
      <rPr>
        <sz val="12"/>
        <color rgb="FF000000"/>
        <rFont val="Times New Roman"/>
        <family val="1"/>
      </rPr>
      <t>0.136</t>
    </r>
    <r>
      <rPr>
        <sz val="12"/>
        <color rgb="FFFFFFFF"/>
        <rFont val="Times New Roman"/>
        <family val="1"/>
      </rPr>
      <t>) ***</t>
    </r>
  </si>
  <si>
    <r>
      <t>-</t>
    </r>
    <r>
      <rPr>
        <sz val="12"/>
        <color rgb="FF000000"/>
        <rFont val="Times New Roman"/>
        <family val="1"/>
      </rPr>
      <t>(0.255)</t>
    </r>
    <r>
      <rPr>
        <sz val="12"/>
        <color rgb="FFFFFFFF"/>
        <rFont val="Times New Roman"/>
        <family val="1"/>
      </rPr>
      <t xml:space="preserve"> ***</t>
    </r>
  </si>
  <si>
    <r>
      <t>(-</t>
    </r>
    <r>
      <rPr>
        <sz val="12"/>
        <color rgb="FF000000"/>
        <rFont val="Times New Roman"/>
        <family val="1"/>
      </rPr>
      <t>0.620</t>
    </r>
    <r>
      <rPr>
        <sz val="12"/>
        <color rgb="FFFFFFFF"/>
        <rFont val="Times New Roman"/>
        <family val="1"/>
      </rPr>
      <t>*)**</t>
    </r>
  </si>
  <si>
    <r>
      <t>-</t>
    </r>
    <r>
      <rPr>
        <sz val="12"/>
        <color rgb="FF000000"/>
        <rFont val="Times New Roman"/>
        <family val="1"/>
      </rPr>
      <t>(0.337)</t>
    </r>
    <r>
      <rPr>
        <sz val="12"/>
        <color rgb="FFFFFFFF"/>
        <rFont val="Times New Roman"/>
        <family val="1"/>
      </rPr>
      <t xml:space="preserve"> ***</t>
    </r>
  </si>
  <si>
    <r>
      <t>(</t>
    </r>
    <r>
      <rPr>
        <sz val="12"/>
        <color rgb="FF000000"/>
        <rFont val="Times New Roman"/>
        <family val="1"/>
      </rPr>
      <t>-0.126***</t>
    </r>
    <r>
      <rPr>
        <sz val="12"/>
        <color rgb="FFFFFFFF"/>
        <rFont val="Times New Roman"/>
        <family val="1"/>
      </rPr>
      <t>)</t>
    </r>
  </si>
  <si>
    <r>
      <t>-</t>
    </r>
    <r>
      <rPr>
        <sz val="12"/>
        <color rgb="FF000000"/>
        <rFont val="Times New Roman"/>
        <family val="1"/>
      </rPr>
      <t>(0.034)</t>
    </r>
    <r>
      <rPr>
        <sz val="12"/>
        <color rgb="FFFFFFFF"/>
        <rFont val="Times New Roman"/>
        <family val="1"/>
      </rPr>
      <t xml:space="preserve"> ***</t>
    </r>
  </si>
  <si>
    <r>
      <t>(</t>
    </r>
    <r>
      <rPr>
        <sz val="12"/>
        <color rgb="FF000000"/>
        <rFont val="Times New Roman"/>
        <family val="1"/>
      </rPr>
      <t>-0.258</t>
    </r>
    <r>
      <rPr>
        <sz val="12"/>
        <color rgb="FFFFFFFF"/>
        <rFont val="Times New Roman"/>
        <family val="1"/>
      </rPr>
      <t>) ***</t>
    </r>
  </si>
  <si>
    <r>
      <t>-</t>
    </r>
    <r>
      <rPr>
        <sz val="12"/>
        <color rgb="FF000000"/>
        <rFont val="Times New Roman"/>
        <family val="1"/>
      </rPr>
      <t>(0.172)</t>
    </r>
    <r>
      <rPr>
        <sz val="12"/>
        <color rgb="FFFFFFFF"/>
        <rFont val="Times New Roman"/>
        <family val="1"/>
      </rPr>
      <t xml:space="preserve"> ***</t>
    </r>
  </si>
  <si>
    <r>
      <t>(</t>
    </r>
    <r>
      <rPr>
        <sz val="12"/>
        <color rgb="FF000000"/>
        <rFont val="Times New Roman"/>
        <family val="1"/>
      </rPr>
      <t>-0.273</t>
    </r>
    <r>
      <rPr>
        <sz val="12"/>
        <color rgb="FFFFFFFF"/>
        <rFont val="Times New Roman"/>
        <family val="1"/>
      </rPr>
      <t>) ***</t>
    </r>
  </si>
  <si>
    <r>
      <t>-</t>
    </r>
    <r>
      <rPr>
        <sz val="12"/>
        <color rgb="FF000000"/>
        <rFont val="Times New Roman"/>
        <family val="1"/>
      </rPr>
      <t>(0.209)</t>
    </r>
    <r>
      <rPr>
        <sz val="12"/>
        <color rgb="FFFFFFFF"/>
        <rFont val="Times New Roman"/>
        <family val="1"/>
      </rPr>
      <t xml:space="preserve"> ***</t>
    </r>
  </si>
  <si>
    <r>
      <t>(-</t>
    </r>
    <r>
      <rPr>
        <sz val="12"/>
        <color rgb="FF000000"/>
        <rFont val="Times New Roman"/>
        <family val="1"/>
      </rPr>
      <t>0.220</t>
    </r>
    <r>
      <rPr>
        <sz val="12"/>
        <color rgb="FFFFFFFF"/>
        <rFont val="Times New Roman"/>
        <family val="1"/>
      </rPr>
      <t>) ***</t>
    </r>
  </si>
  <si>
    <r>
      <t>-</t>
    </r>
    <r>
      <rPr>
        <sz val="12"/>
        <color rgb="FF000000"/>
        <rFont val="Times New Roman"/>
        <family val="1"/>
      </rPr>
      <t>(0.271)</t>
    </r>
    <r>
      <rPr>
        <sz val="12"/>
        <color rgb="FFFFFFFF"/>
        <rFont val="Times New Roman"/>
        <family val="1"/>
      </rPr>
      <t xml:space="preserve"> ***</t>
    </r>
  </si>
  <si>
    <t>Simpatía Partidos: Sí</t>
  </si>
  <si>
    <r>
      <t>(-</t>
    </r>
    <r>
      <rPr>
        <sz val="12"/>
        <color rgb="FF000000"/>
        <rFont val="Times New Roman"/>
        <family val="1"/>
      </rPr>
      <t>0.465**</t>
    </r>
    <r>
      <rPr>
        <sz val="12"/>
        <color rgb="FFFFFFFF"/>
        <rFont val="Times New Roman"/>
        <family val="1"/>
      </rPr>
      <t>***</t>
    </r>
  </si>
  <si>
    <r>
      <t>-</t>
    </r>
    <r>
      <rPr>
        <sz val="12"/>
        <color rgb="FF000000"/>
        <rFont val="Times New Roman"/>
        <family val="1"/>
      </rPr>
      <t>(0.155)</t>
    </r>
    <r>
      <rPr>
        <sz val="12"/>
        <color rgb="FFFFFFFF"/>
        <rFont val="Times New Roman"/>
        <family val="1"/>
      </rPr>
      <t xml:space="preserve"> ***</t>
    </r>
  </si>
  <si>
    <r>
      <t>(-</t>
    </r>
    <r>
      <rPr>
        <sz val="12"/>
        <color rgb="FF000000"/>
        <rFont val="Times New Roman"/>
        <family val="1"/>
      </rPr>
      <t>-0.420***</t>
    </r>
    <r>
      <rPr>
        <sz val="12"/>
        <color rgb="FFFFFFFF"/>
        <rFont val="Times New Roman"/>
        <family val="1"/>
      </rPr>
      <t>**</t>
    </r>
  </si>
  <si>
    <r>
      <t xml:space="preserve"> -</t>
    </r>
    <r>
      <rPr>
        <sz val="12"/>
        <color rgb="FF000000"/>
        <rFont val="Times New Roman"/>
        <family val="1"/>
      </rPr>
      <t>(0.125)</t>
    </r>
    <r>
      <rPr>
        <sz val="12"/>
        <color rgb="FFFFFFFF"/>
        <rFont val="Times New Roman"/>
        <family val="1"/>
      </rPr>
      <t xml:space="preserve"> ***</t>
    </r>
  </si>
  <si>
    <t>Intención de Votar: Sí</t>
  </si>
  <si>
    <r>
      <t>(-</t>
    </r>
    <r>
      <rPr>
        <sz val="12"/>
        <color rgb="FF000000"/>
        <rFont val="Times New Roman"/>
        <family val="1"/>
      </rPr>
      <t>0.177</t>
    </r>
    <r>
      <rPr>
        <sz val="12"/>
        <color rgb="FFFFFFFF"/>
        <rFont val="Times New Roman"/>
        <family val="1"/>
      </rPr>
      <t>) ***</t>
    </r>
  </si>
  <si>
    <r>
      <t>-</t>
    </r>
    <r>
      <rPr>
        <sz val="12"/>
        <color rgb="FF000000"/>
        <rFont val="Times New Roman"/>
        <family val="1"/>
      </rPr>
      <t>(0.210)</t>
    </r>
    <r>
      <rPr>
        <sz val="12"/>
        <color rgb="FFFFFFFF"/>
        <rFont val="Times New Roman"/>
        <family val="1"/>
      </rPr>
      <t xml:space="preserve"> ***</t>
    </r>
  </si>
  <si>
    <t xml:space="preserve">  </t>
  </si>
  <si>
    <t>Hombre (47.5%)</t>
  </si>
  <si>
    <t>Mujer (52.5%)</t>
  </si>
  <si>
    <t xml:space="preserve">Que la ciudadanía decida </t>
  </si>
  <si>
    <t>30 a 45 años (28.5%)</t>
  </si>
  <si>
    <t>61 años y más (19.5%)</t>
  </si>
  <si>
    <t>Básica (24.1%)</t>
  </si>
  <si>
    <t>Media (47.0%)</t>
  </si>
  <si>
    <t>Técnico Sup. (20.6%)</t>
  </si>
  <si>
    <t>Universitaria (8.3%)</t>
  </si>
  <si>
    <t>No pertenece a ningún pueblo (94.5%)</t>
  </si>
  <si>
    <t>Izquierda (21.7%)</t>
  </si>
  <si>
    <t>Centro (64.1%)</t>
  </si>
  <si>
    <t>Derecha (14.2%)</t>
  </si>
  <si>
    <t>Moderado (54.7%)</t>
  </si>
  <si>
    <t>Liberal (28.0%)</t>
  </si>
  <si>
    <t>Conservador (17.3%)</t>
  </si>
  <si>
    <t>Sí pertenece a algún pueblo (5.6%)</t>
  </si>
  <si>
    <t>18 a 29 años (26.9%)</t>
  </si>
  <si>
    <t>Sí pertenece a algún pueblo (5.5%)</t>
  </si>
  <si>
    <t>Satisfecho con la Democracia (48.2%)</t>
  </si>
  <si>
    <t>Insatisfecho con la Democracia (51.8%)</t>
  </si>
  <si>
    <t>Que la ciudadanía decida</t>
  </si>
  <si>
    <t>Poco Respeto (19.9%)</t>
  </si>
  <si>
    <t>Respeto Medio (23.3%)</t>
  </si>
  <si>
    <t>Mucho Respeto (56.9%)</t>
  </si>
  <si>
    <t>Apoyo Medio (25.9%)</t>
  </si>
  <si>
    <t>Alto Apoyo (50.4%)</t>
  </si>
  <si>
    <t>Baja Confianza (33.0%)</t>
  </si>
  <si>
    <t>Alta Confianza (17.0%)</t>
  </si>
  <si>
    <t>Nada (35.1%)</t>
  </si>
  <si>
    <t>Algo (23.8%)</t>
  </si>
  <si>
    <t>Simpatiza con algún Partido (15.1%)</t>
  </si>
  <si>
    <t>No Simpatiza con algún Partido (84.9%)</t>
  </si>
  <si>
    <t>Satisfecho (37.7%)</t>
  </si>
  <si>
    <t>Insatisfecho (62.3%)</t>
  </si>
  <si>
    <t>Buena (5.6%)</t>
  </si>
  <si>
    <t>Regular (59.7%)</t>
  </si>
  <si>
    <t>Mala (34.7%)</t>
  </si>
  <si>
    <t>Anularía o Dejaría en Blanco (9.9%)</t>
  </si>
  <si>
    <t>Sí votó (68.3%)</t>
  </si>
  <si>
    <t>No votó (31.7%)</t>
  </si>
  <si>
    <t>Sí Votaría (63.4%)</t>
  </si>
  <si>
    <t>No Votaría (26.8%)</t>
  </si>
  <si>
    <t>Anularía o Dejaría en Blanco (9.8%)</t>
  </si>
  <si>
    <t>Probablemente No Votará (14.3%)</t>
  </si>
  <si>
    <t>Inseguro de Votar (31.1%)</t>
  </si>
  <si>
    <t>Probablemente Votará (54.5%)</t>
  </si>
  <si>
    <t>De Acuerdo</t>
  </si>
  <si>
    <t>En  Desacuerdo</t>
  </si>
  <si>
    <t>Hombre (48.9%)</t>
  </si>
  <si>
    <t>Mujer (51.1%)</t>
  </si>
  <si>
    <t>18 a 29 años (27.0%)</t>
  </si>
  <si>
    <t>30 a 45 años (30.3%)</t>
  </si>
  <si>
    <t>46 a 60 años (24.5%)</t>
  </si>
  <si>
    <t>61 años y más (18.1%)</t>
  </si>
  <si>
    <t>Básica (24.4%)</t>
  </si>
  <si>
    <t>Media (46.8%)</t>
  </si>
  <si>
    <t>Técnica Sup. (13.5%)</t>
  </si>
  <si>
    <t>Universitaria (16.2%)</t>
  </si>
  <si>
    <t>Sí Pertenece (6.1%)</t>
  </si>
  <si>
    <t>No Pertenece (93.9%)</t>
  </si>
  <si>
    <t>Izquierda (15.3%)</t>
  </si>
  <si>
    <t>Centro (48.9%)</t>
  </si>
  <si>
    <t>Derecha (10.2%)</t>
  </si>
  <si>
    <t>NS/NR (25.3%)</t>
  </si>
  <si>
    <t>Sí Simpatiza (32.4%)</t>
  </si>
  <si>
    <t>No Simpatiza (67.6%)</t>
  </si>
  <si>
    <t>Sí Votó (62.5%)</t>
  </si>
  <si>
    <t>No Votó (37.5%)</t>
  </si>
  <si>
    <t>Con seguridad sí votará (51.2%)</t>
  </si>
  <si>
    <t>Inseguro (33.4%)</t>
  </si>
  <si>
    <t>Con seguridad no votará (15.4%)</t>
  </si>
  <si>
    <t>Votó el 2009</t>
  </si>
  <si>
    <t>Constante</t>
  </si>
  <si>
    <t>Tabla 7: Modelo de Apoyo a Asamblea Constituyente</t>
  </si>
  <si>
    <t>Nota: Modelo Logit                                         Significancia Estadística: ***= 0.001; **=0.01; *=0.05</t>
  </si>
  <si>
    <t>Indiferente con el tipo de régimen (18.1%)</t>
  </si>
  <si>
    <t>En ciertas circunstancias es aceptable un gobierno autoritario (7.9%)</t>
  </si>
  <si>
    <t>Baja Confianza (16.3%)</t>
  </si>
  <si>
    <t>Confianza Media (65.8%)</t>
  </si>
  <si>
    <t>Alta Confianza (17.9%)</t>
  </si>
  <si>
    <t>Baja Confianza (31.7%)</t>
  </si>
  <si>
    <t>Confianza Media (56.7%)</t>
  </si>
  <si>
    <t>Alta Confianza (11.6%)</t>
  </si>
  <si>
    <t>Confianza Media (66.1%)</t>
  </si>
  <si>
    <t>Alta Confianza (17.6%)</t>
  </si>
  <si>
    <t>Baja Confianza (31.6%)</t>
  </si>
  <si>
    <t>Alta Confianza (11.3%)</t>
  </si>
  <si>
    <t>Confianza Media (57.1%)</t>
  </si>
  <si>
    <t>En ciertas circunstancias es aceptable un gobierno autoritario (7.6%)</t>
  </si>
  <si>
    <t>239.50704  1,055.095   103.2116 |1,397.8133</t>
  </si>
  <si>
    <t>La democracia es preferible a cualquier otra forma de gobierno (74.0%)</t>
  </si>
  <si>
    <t>Indiferente con el tipo de régimen (16.9%)</t>
  </si>
  <si>
    <t>La democracia es preferible a cualquier otra forma de gobierno (75.4%)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</si>
</sst>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0.0"/>
    <numFmt numFmtId="165" formatCode="###0"/>
    <numFmt numFmtId="166" formatCode="###0.000"/>
    <numFmt numFmtId="167" formatCode="####.000"/>
    <numFmt numFmtId="168" formatCode="###0.00"/>
    <numFmt numFmtId="169" formatCode="###0.0"/>
    <numFmt numFmtId="170" formatCode="###0.00000"/>
    <numFmt numFmtId="171" formatCode="0.000"/>
  </numFmts>
  <fonts count="20" x14ac:knownFonts="1">
    <font>
      <sz val="11"/>
      <color theme="1"/>
      <name val="Calibri"/>
      <family val="2"/>
      <scheme val="minor"/>
    </font>
    <font>
      <b/>
      <sz val="11"/>
      <color theme="1"/>
      <name val="Calibri"/>
      <family val="2"/>
      <scheme val="minor"/>
    </font>
    <font>
      <b/>
      <sz val="12"/>
      <color theme="1"/>
      <name val="Times New Roman"/>
      <family val="1"/>
    </font>
    <font>
      <sz val="12"/>
      <color rgb="FF000000"/>
      <name val="Times New Roman"/>
      <family val="1"/>
    </font>
    <font>
      <b/>
      <sz val="12"/>
      <color rgb="FF000000"/>
      <name val="Times New Roman"/>
      <family val="1"/>
    </font>
    <font>
      <sz val="11"/>
      <color rgb="FF000000"/>
      <name val="Calibri"/>
      <family val="2"/>
    </font>
    <font>
      <sz val="11"/>
      <color theme="1"/>
      <name val="Calibri"/>
      <family val="2"/>
    </font>
    <font>
      <sz val="12"/>
      <color theme="1"/>
      <name val="Times New Roman"/>
      <family val="1"/>
    </font>
    <font>
      <sz val="10"/>
      <name val="Arial"/>
      <family val="2"/>
    </font>
    <font>
      <sz val="9"/>
      <color indexed="8"/>
      <name val="Arial"/>
      <family val="2"/>
    </font>
    <font>
      <b/>
      <sz val="9"/>
      <color indexed="8"/>
      <name val="Arial Bold"/>
    </font>
    <font>
      <vertAlign val="superscript"/>
      <sz val="9"/>
      <color indexed="8"/>
      <name val="Arial"/>
      <family val="2"/>
    </font>
    <font>
      <b/>
      <vertAlign val="superscript"/>
      <sz val="9"/>
      <color indexed="8"/>
      <name val="Arial Bold"/>
    </font>
    <font>
      <sz val="12"/>
      <color indexed="8"/>
      <name val="Times New Roman"/>
      <family val="1"/>
    </font>
    <font>
      <sz val="10"/>
      <name val="Arial"/>
    </font>
    <font>
      <sz val="9"/>
      <color indexed="8"/>
      <name val="Arial"/>
    </font>
    <font>
      <sz val="12"/>
      <color rgb="FFFFFFFF"/>
      <name val="Times New Roman"/>
      <family val="1"/>
    </font>
    <font>
      <vertAlign val="superscript"/>
      <sz val="12"/>
      <color rgb="FF000000"/>
      <name val="Times New Roman"/>
      <family val="1"/>
    </font>
    <font>
      <b/>
      <sz val="11"/>
      <color theme="1"/>
      <name val="Times New Roman"/>
      <family val="1"/>
    </font>
    <font>
      <sz val="11"/>
      <color theme="1"/>
      <name val="Times New Roman"/>
      <family val="1"/>
    </font>
  </fonts>
  <fills count="6">
    <fill>
      <patternFill patternType="none"/>
    </fill>
    <fill>
      <patternFill patternType="gray125"/>
    </fill>
    <fill>
      <patternFill patternType="solid">
        <fgColor rgb="FFD9D9D9"/>
        <bgColor indexed="64"/>
      </patternFill>
    </fill>
    <fill>
      <patternFill patternType="solid">
        <fgColor theme="0" tint="-0.14999847407452621"/>
        <bgColor indexed="64"/>
      </patternFill>
    </fill>
    <fill>
      <patternFill patternType="solid">
        <fgColor indexed="9"/>
        <bgColor indexed="64"/>
      </patternFill>
    </fill>
    <fill>
      <patternFill patternType="solid">
        <fgColor theme="0" tint="-0.249977111117893"/>
        <bgColor indexed="64"/>
      </patternFill>
    </fill>
  </fills>
  <borders count="60">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style="medium">
        <color auto="1"/>
      </left>
      <right/>
      <top style="medium">
        <color auto="1"/>
      </top>
      <bottom/>
      <diagonal/>
    </border>
    <border>
      <left/>
      <right style="medium">
        <color auto="1"/>
      </right>
      <top style="medium">
        <color auto="1"/>
      </top>
      <bottom/>
      <diagonal/>
    </border>
    <border>
      <left/>
      <right style="medium">
        <color rgb="FF000000"/>
      </right>
      <top style="medium">
        <color auto="1"/>
      </top>
      <bottom style="medium">
        <color auto="1"/>
      </bottom>
      <diagonal/>
    </border>
    <border>
      <left/>
      <right style="thick">
        <color indexed="8"/>
      </right>
      <top style="thick">
        <color indexed="8"/>
      </top>
      <bottom/>
      <diagonal/>
    </border>
    <border>
      <left style="thin">
        <color indexed="8"/>
      </left>
      <right style="thin">
        <color indexed="8"/>
      </right>
      <top style="thick">
        <color indexed="8"/>
      </top>
      <bottom/>
      <diagonal/>
    </border>
    <border>
      <left/>
      <right style="thick">
        <color indexed="8"/>
      </right>
      <top/>
      <bottom/>
      <diagonal/>
    </border>
    <border>
      <left style="thin">
        <color indexed="8"/>
      </left>
      <right style="thin">
        <color indexed="8"/>
      </right>
      <top/>
      <bottom/>
      <diagonal/>
    </border>
    <border>
      <left/>
      <right style="thin">
        <color auto="1"/>
      </right>
      <top/>
      <bottom style="thin">
        <color auto="1"/>
      </bottom>
      <diagonal/>
    </border>
    <border>
      <left style="thick">
        <color indexed="8"/>
      </left>
      <right/>
      <top style="thick">
        <color indexed="8"/>
      </top>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top/>
      <bottom style="thick">
        <color indexed="8"/>
      </bottom>
      <diagonal/>
    </border>
    <border>
      <left/>
      <right style="thick">
        <color indexed="8"/>
      </right>
      <top/>
      <bottom style="thick">
        <color indexed="8"/>
      </bottom>
      <diagonal/>
    </border>
    <border>
      <left style="thick">
        <color indexed="8"/>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ck">
        <color indexed="8"/>
      </left>
      <right style="thin">
        <color indexed="8"/>
      </right>
      <top style="thick">
        <color indexed="8"/>
      </top>
      <bottom/>
      <diagonal/>
    </border>
    <border>
      <left style="thin">
        <color indexed="8"/>
      </left>
      <right style="thick">
        <color indexed="8"/>
      </right>
      <top style="thick">
        <color indexed="8"/>
      </top>
      <bottom/>
      <diagonal/>
    </border>
    <border>
      <left style="thick">
        <color indexed="8"/>
      </left>
      <right/>
      <top/>
      <bottom/>
      <diagonal/>
    </border>
    <border>
      <left style="thick">
        <color indexed="8"/>
      </left>
      <right style="thin">
        <color indexed="8"/>
      </right>
      <top/>
      <bottom/>
      <diagonal/>
    </border>
    <border>
      <left style="thin">
        <color indexed="8"/>
      </left>
      <right style="thick">
        <color indexed="8"/>
      </right>
      <top/>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top/>
      <bottom style="thin">
        <color auto="1"/>
      </bottom>
      <diagonal/>
    </border>
    <border>
      <left style="thick">
        <color indexed="8"/>
      </left>
      <right style="thick">
        <color indexed="8"/>
      </right>
      <top style="thick">
        <color indexed="8"/>
      </top>
      <bottom style="thick">
        <color indexed="8"/>
      </bottom>
      <diagonal/>
    </border>
    <border>
      <left style="thick">
        <color indexed="8"/>
      </left>
      <right style="thin">
        <color indexed="8"/>
      </right>
      <top style="thick">
        <color indexed="8"/>
      </top>
      <bottom style="thick">
        <color indexed="8"/>
      </bottom>
      <diagonal/>
    </border>
    <border>
      <left style="thin">
        <color indexed="8"/>
      </left>
      <right style="thick">
        <color indexed="8"/>
      </right>
      <top style="thick">
        <color indexed="8"/>
      </top>
      <bottom style="thick">
        <color indexed="8"/>
      </bottom>
      <diagonal/>
    </border>
    <border>
      <left style="thick">
        <color indexed="8"/>
      </left>
      <right style="thick">
        <color indexed="8"/>
      </right>
      <top style="thick">
        <color indexed="8"/>
      </top>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style="thick">
        <color indexed="8"/>
      </left>
      <right/>
      <top style="thick">
        <color indexed="8"/>
      </top>
      <bottom style="thick">
        <color indexed="8"/>
      </bottom>
      <diagonal/>
    </border>
    <border>
      <left/>
      <right style="thick">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ck">
        <color indexed="8"/>
      </left>
      <right style="thick">
        <color indexed="8"/>
      </right>
      <top style="thick">
        <color indexed="8"/>
      </top>
      <bottom style="thin">
        <color indexed="8"/>
      </bottom>
      <diagonal/>
    </border>
    <border>
      <left style="thick">
        <color indexed="8"/>
      </left>
      <right style="thick">
        <color indexed="8"/>
      </right>
      <top style="thin">
        <color indexed="8"/>
      </top>
      <bottom style="thick">
        <color indexed="8"/>
      </bottom>
      <diagonal/>
    </border>
    <border>
      <left/>
      <right style="medium">
        <color rgb="FF000000"/>
      </right>
      <top/>
      <bottom/>
      <diagonal/>
    </border>
    <border>
      <left/>
      <right/>
      <top/>
      <bottom style="medium">
        <color auto="1"/>
      </bottom>
      <diagonal/>
    </border>
  </borders>
  <cellStyleXfs count="7">
    <xf numFmtId="0" fontId="0" fillId="0" borderId="0"/>
    <xf numFmtId="0" fontId="8" fillId="0" borderId="0"/>
    <xf numFmtId="0" fontId="8" fillId="0" borderId="0"/>
    <xf numFmtId="0" fontId="8" fillId="0" borderId="0"/>
    <xf numFmtId="0" fontId="8" fillId="0" borderId="0"/>
    <xf numFmtId="0" fontId="8" fillId="0" borderId="0"/>
    <xf numFmtId="0" fontId="14" fillId="0" borderId="0"/>
  </cellStyleXfs>
  <cellXfs count="347">
    <xf numFmtId="0" fontId="0" fillId="0" borderId="0" xfId="0"/>
    <xf numFmtId="49" fontId="0" fillId="0" borderId="1" xfId="0" applyNumberFormat="1" applyBorder="1"/>
    <xf numFmtId="0" fontId="0" fillId="0" borderId="1" xfId="0" applyBorder="1"/>
    <xf numFmtId="49" fontId="0" fillId="0" borderId="0" xfId="0" applyNumberFormat="1"/>
    <xf numFmtId="0" fontId="0" fillId="0" borderId="1" xfId="0" applyBorder="1" applyAlignment="1">
      <alignment horizontal="center"/>
    </xf>
    <xf numFmtId="49" fontId="0" fillId="0" borderId="1" xfId="0" applyNumberFormat="1" applyBorder="1" applyAlignment="1">
      <alignment horizontal="center"/>
    </xf>
    <xf numFmtId="0" fontId="0" fillId="0" borderId="0" xfId="0" applyAlignment="1">
      <alignment horizontal="center"/>
    </xf>
    <xf numFmtId="49" fontId="0" fillId="0" borderId="0" xfId="0" applyNumberFormat="1" applyAlignment="1">
      <alignment horizontal="center"/>
    </xf>
    <xf numFmtId="0" fontId="3" fillId="0" borderId="7"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wrapText="1"/>
    </xf>
    <xf numFmtId="0" fontId="0" fillId="0" borderId="0" xfId="0" applyAlignment="1">
      <alignment horizontal="center" vertical="center" wrapText="1"/>
    </xf>
    <xf numFmtId="2" fontId="0" fillId="0" borderId="0" xfId="0" applyNumberFormat="1"/>
    <xf numFmtId="0" fontId="0" fillId="0" borderId="0" xfId="0" applyAlignment="1">
      <alignment wrapText="1"/>
    </xf>
    <xf numFmtId="0" fontId="0" fillId="0" borderId="0" xfId="0" applyAlignment="1"/>
    <xf numFmtId="49" fontId="0" fillId="0" borderId="0" xfId="0" applyNumberFormat="1" applyAlignment="1"/>
    <xf numFmtId="0" fontId="1" fillId="0" borderId="1" xfId="0" applyFont="1" applyBorder="1" applyAlignment="1">
      <alignment vertical="center"/>
    </xf>
    <xf numFmtId="0" fontId="1" fillId="0" borderId="1" xfId="0" applyFont="1" applyFill="1" applyBorder="1" applyAlignment="1">
      <alignment vertical="center"/>
    </xf>
    <xf numFmtId="0" fontId="0" fillId="0" borderId="1" xfId="0" applyBorder="1" applyAlignment="1">
      <alignment vertical="center"/>
    </xf>
    <xf numFmtId="49" fontId="0" fillId="0" borderId="1" xfId="0" applyNumberFormat="1" applyBorder="1" applyAlignment="1">
      <alignment vertical="center"/>
    </xf>
    <xf numFmtId="0" fontId="5" fillId="0" borderId="1" xfId="0" applyFont="1" applyBorder="1" applyAlignment="1">
      <alignment vertical="center"/>
    </xf>
    <xf numFmtId="0" fontId="6" fillId="0" borderId="1" xfId="0" applyFont="1" applyBorder="1" applyAlignment="1">
      <alignment vertical="center"/>
    </xf>
    <xf numFmtId="0" fontId="2" fillId="0" borderId="1" xfId="0" applyFont="1" applyBorder="1" applyAlignment="1">
      <alignment horizontal="left" vertical="center"/>
    </xf>
    <xf numFmtId="0" fontId="7" fillId="0" borderId="1" xfId="0" applyFont="1" applyBorder="1" applyAlignment="1">
      <alignment horizontal="left" vertical="center"/>
    </xf>
    <xf numFmtId="0" fontId="0" fillId="0" borderId="0" xfId="0" applyAlignment="1">
      <alignment horizontal="left"/>
    </xf>
    <xf numFmtId="17" fontId="7" fillId="0" borderId="1" xfId="0" applyNumberFormat="1" applyFont="1" applyBorder="1" applyAlignment="1">
      <alignment horizontal="left" vertical="center"/>
    </xf>
    <xf numFmtId="164" fontId="9" fillId="0" borderId="1" xfId="1" applyNumberFormat="1" applyFont="1" applyBorder="1" applyAlignment="1">
      <alignment horizontal="right" vertical="center"/>
    </xf>
    <xf numFmtId="0" fontId="9" fillId="0" borderId="1" xfId="1" applyFont="1" applyBorder="1" applyAlignment="1">
      <alignment horizontal="left" vertical="top"/>
    </xf>
    <xf numFmtId="0" fontId="0" fillId="0" borderId="37" xfId="0" applyBorder="1"/>
    <xf numFmtId="0" fontId="0" fillId="0" borderId="39" xfId="0" applyBorder="1"/>
    <xf numFmtId="0" fontId="0" fillId="0" borderId="1" xfId="0" applyBorder="1" applyAlignment="1">
      <alignment horizontal="center" vertical="center" wrapText="1"/>
    </xf>
    <xf numFmtId="2" fontId="0" fillId="0" borderId="45" xfId="0" applyNumberFormat="1" applyBorder="1" applyAlignment="1">
      <alignment horizontal="center"/>
    </xf>
    <xf numFmtId="2" fontId="0" fillId="0" borderId="38" xfId="0" applyNumberFormat="1" applyBorder="1" applyAlignment="1">
      <alignment horizontal="center"/>
    </xf>
    <xf numFmtId="2" fontId="0" fillId="0" borderId="0" xfId="0" applyNumberFormat="1" applyBorder="1" applyAlignment="1">
      <alignment horizontal="center"/>
    </xf>
    <xf numFmtId="2" fontId="0" fillId="0" borderId="40" xfId="0" applyNumberFormat="1" applyBorder="1" applyAlignment="1">
      <alignment horizontal="center"/>
    </xf>
    <xf numFmtId="0" fontId="0" fillId="3" borderId="41" xfId="0" applyFill="1" applyBorder="1"/>
    <xf numFmtId="2" fontId="0" fillId="3" borderId="46" xfId="0" applyNumberFormat="1" applyFill="1" applyBorder="1" applyAlignment="1">
      <alignment horizontal="center"/>
    </xf>
    <xf numFmtId="2" fontId="0" fillId="3" borderId="19" xfId="0" applyNumberFormat="1" applyFill="1" applyBorder="1" applyAlignment="1">
      <alignment horizontal="center"/>
    </xf>
    <xf numFmtId="0" fontId="8" fillId="0" borderId="0" xfId="2" applyAlignment="1"/>
    <xf numFmtId="0" fontId="8" fillId="0" borderId="0" xfId="3"/>
    <xf numFmtId="0" fontId="8" fillId="0" borderId="0" xfId="3" applyAlignment="1"/>
    <xf numFmtId="167" fontId="9" fillId="0" borderId="50" xfId="4" applyNumberFormat="1" applyFont="1" applyBorder="1" applyAlignment="1">
      <alignment horizontal="right" vertical="center"/>
    </xf>
    <xf numFmtId="0" fontId="9" fillId="0" borderId="17" xfId="4" applyFont="1" applyBorder="1" applyAlignment="1">
      <alignment horizontal="left" vertical="top" wrapText="1"/>
    </xf>
    <xf numFmtId="166" fontId="9" fillId="0" borderId="51" xfId="4" applyNumberFormat="1" applyFont="1" applyBorder="1" applyAlignment="1">
      <alignment horizontal="right" vertical="center"/>
    </xf>
    <xf numFmtId="165" fontId="9" fillId="0" borderId="51" xfId="4" applyNumberFormat="1" applyFont="1" applyBorder="1" applyAlignment="1">
      <alignment horizontal="right" vertical="center"/>
    </xf>
    <xf numFmtId="0" fontId="9" fillId="0" borderId="25" xfId="4" applyFont="1" applyBorder="1" applyAlignment="1">
      <alignment horizontal="left" vertical="top" wrapText="1"/>
    </xf>
    <xf numFmtId="166" fontId="9" fillId="0" borderId="52" xfId="4" applyNumberFormat="1" applyFont="1" applyBorder="1" applyAlignment="1">
      <alignment horizontal="right" vertical="center"/>
    </xf>
    <xf numFmtId="0" fontId="9" fillId="0" borderId="17" xfId="4" applyFont="1" applyBorder="1" applyAlignment="1">
      <alignment horizontal="left" vertical="top"/>
    </xf>
    <xf numFmtId="0" fontId="9" fillId="0" borderId="25" xfId="4" applyFont="1" applyBorder="1" applyAlignment="1">
      <alignment horizontal="left" vertical="top"/>
    </xf>
    <xf numFmtId="167" fontId="9" fillId="0" borderId="29" xfId="4" applyNumberFormat="1" applyFont="1" applyBorder="1" applyAlignment="1">
      <alignment horizontal="right" vertical="center"/>
    </xf>
    <xf numFmtId="167" fontId="9" fillId="0" borderId="16" xfId="4" applyNumberFormat="1" applyFont="1" applyBorder="1" applyAlignment="1">
      <alignment horizontal="right" vertical="center"/>
    </xf>
    <xf numFmtId="167" fontId="9" fillId="0" borderId="30" xfId="4" applyNumberFormat="1" applyFont="1" applyBorder="1" applyAlignment="1">
      <alignment horizontal="right" vertical="center"/>
    </xf>
    <xf numFmtId="167" fontId="9" fillId="0" borderId="32" xfId="4" applyNumberFormat="1" applyFont="1" applyBorder="1" applyAlignment="1">
      <alignment horizontal="right" vertical="center"/>
    </xf>
    <xf numFmtId="167" fontId="9" fillId="0" borderId="18" xfId="4" applyNumberFormat="1" applyFont="1" applyBorder="1" applyAlignment="1">
      <alignment horizontal="right" vertical="center"/>
    </xf>
    <xf numFmtId="167" fontId="9" fillId="0" borderId="33" xfId="4" applyNumberFormat="1" applyFont="1" applyBorder="1" applyAlignment="1">
      <alignment horizontal="right" vertical="center"/>
    </xf>
    <xf numFmtId="0" fontId="9" fillId="0" borderId="32" xfId="4" applyFont="1" applyBorder="1" applyAlignment="1">
      <alignment horizontal="right" vertical="center"/>
    </xf>
    <xf numFmtId="0" fontId="9" fillId="0" borderId="18" xfId="4" applyFont="1" applyBorder="1" applyAlignment="1">
      <alignment horizontal="right" vertical="center"/>
    </xf>
    <xf numFmtId="167" fontId="9" fillId="0" borderId="34" xfId="4" applyNumberFormat="1" applyFont="1" applyBorder="1" applyAlignment="1">
      <alignment horizontal="right" vertical="center"/>
    </xf>
    <xf numFmtId="167" fontId="9" fillId="0" borderId="35" xfId="4" applyNumberFormat="1" applyFont="1" applyBorder="1" applyAlignment="1">
      <alignment horizontal="right" vertical="center"/>
    </xf>
    <xf numFmtId="0" fontId="9" fillId="0" borderId="36" xfId="4" applyFont="1" applyBorder="1" applyAlignment="1">
      <alignment horizontal="right" vertical="center"/>
    </xf>
    <xf numFmtId="0" fontId="9" fillId="0" borderId="48" xfId="4" applyFont="1" applyBorder="1" applyAlignment="1">
      <alignment horizontal="center"/>
    </xf>
    <xf numFmtId="0" fontId="9" fillId="0" borderId="55" xfId="4" applyFont="1" applyBorder="1" applyAlignment="1">
      <alignment horizontal="center"/>
    </xf>
    <xf numFmtId="0" fontId="9" fillId="0" borderId="49" xfId="4" applyFont="1" applyBorder="1" applyAlignment="1">
      <alignment horizontal="center"/>
    </xf>
    <xf numFmtId="0" fontId="9" fillId="0" borderId="15" xfId="4" applyFont="1" applyBorder="1" applyAlignment="1">
      <alignment horizontal="left" vertical="top"/>
    </xf>
    <xf numFmtId="166" fontId="9" fillId="0" borderId="29" xfId="4" applyNumberFormat="1" applyFont="1" applyBorder="1" applyAlignment="1">
      <alignment horizontal="right" vertical="center"/>
    </xf>
    <xf numFmtId="166" fontId="9" fillId="0" borderId="32" xfId="4" applyNumberFormat="1" applyFont="1" applyBorder="1" applyAlignment="1">
      <alignment horizontal="right" vertical="center"/>
    </xf>
    <xf numFmtId="166" fontId="9" fillId="0" borderId="34" xfId="4" applyNumberFormat="1" applyFont="1" applyBorder="1" applyAlignment="1">
      <alignment horizontal="right" vertical="center"/>
    </xf>
    <xf numFmtId="167" fontId="9" fillId="0" borderId="36" xfId="4" applyNumberFormat="1" applyFont="1" applyBorder="1" applyAlignment="1">
      <alignment horizontal="right" vertical="center"/>
    </xf>
    <xf numFmtId="0" fontId="9" fillId="0" borderId="50" xfId="4" applyFont="1" applyBorder="1" applyAlignment="1">
      <alignment horizontal="left" vertical="top"/>
    </xf>
    <xf numFmtId="0" fontId="9" fillId="0" borderId="51" xfId="4" applyFont="1" applyBorder="1" applyAlignment="1">
      <alignment horizontal="left" vertical="top"/>
    </xf>
    <xf numFmtId="0" fontId="9" fillId="0" borderId="52" xfId="4" applyFont="1" applyBorder="1" applyAlignment="1">
      <alignment horizontal="left" vertical="top"/>
    </xf>
    <xf numFmtId="0" fontId="9" fillId="0" borderId="26" xfId="4" applyFont="1" applyBorder="1" applyAlignment="1">
      <alignment horizontal="center" wrapText="1"/>
    </xf>
    <xf numFmtId="0" fontId="9" fillId="0" borderId="27" xfId="4" applyFont="1" applyBorder="1" applyAlignment="1">
      <alignment horizontal="center" wrapText="1"/>
    </xf>
    <xf numFmtId="0" fontId="9" fillId="0" borderId="28" xfId="4" applyFont="1" applyBorder="1" applyAlignment="1">
      <alignment horizontal="center" wrapText="1"/>
    </xf>
    <xf numFmtId="166" fontId="9" fillId="0" borderId="16" xfId="4" applyNumberFormat="1" applyFont="1" applyBorder="1" applyAlignment="1">
      <alignment horizontal="right" vertical="center"/>
    </xf>
    <xf numFmtId="166" fontId="9" fillId="0" borderId="30" xfId="4" applyNumberFormat="1" applyFont="1" applyBorder="1" applyAlignment="1">
      <alignment horizontal="right" vertical="center"/>
    </xf>
    <xf numFmtId="166" fontId="9" fillId="0" borderId="18" xfId="4" applyNumberFormat="1" applyFont="1" applyBorder="1" applyAlignment="1">
      <alignment horizontal="right" vertical="center"/>
    </xf>
    <xf numFmtId="166" fontId="9" fillId="0" borderId="33" xfId="4" applyNumberFormat="1" applyFont="1" applyBorder="1" applyAlignment="1">
      <alignment horizontal="right" vertical="center"/>
    </xf>
    <xf numFmtId="0" fontId="9" fillId="0" borderId="18" xfId="4" applyFont="1" applyBorder="1" applyAlignment="1">
      <alignment horizontal="left" vertical="center" wrapText="1"/>
    </xf>
    <xf numFmtId="0" fontId="9" fillId="0" borderId="33" xfId="4" applyFont="1" applyBorder="1" applyAlignment="1">
      <alignment horizontal="left" vertical="center" wrapText="1"/>
    </xf>
    <xf numFmtId="166" fontId="9" fillId="0" borderId="35" xfId="4" applyNumberFormat="1" applyFont="1" applyBorder="1" applyAlignment="1">
      <alignment horizontal="right" vertical="center"/>
    </xf>
    <xf numFmtId="0" fontId="9" fillId="0" borderId="35" xfId="4" applyFont="1" applyBorder="1" applyAlignment="1">
      <alignment horizontal="left" vertical="center" wrapText="1"/>
    </xf>
    <xf numFmtId="0" fontId="9" fillId="0" borderId="36" xfId="4" applyFont="1" applyBorder="1" applyAlignment="1">
      <alignment horizontal="left" vertical="center" wrapText="1"/>
    </xf>
    <xf numFmtId="0" fontId="8" fillId="0" borderId="0" xfId="4" applyAlignment="1"/>
    <xf numFmtId="0" fontId="9" fillId="0" borderId="26" xfId="4" applyFont="1" applyBorder="1" applyAlignment="1">
      <alignment horizontal="center"/>
    </xf>
    <xf numFmtId="0" fontId="9" fillId="0" borderId="27" xfId="4" applyFont="1" applyBorder="1" applyAlignment="1">
      <alignment horizontal="center"/>
    </xf>
    <xf numFmtId="0" fontId="9" fillId="0" borderId="28" xfId="4" applyFont="1" applyBorder="1" applyAlignment="1">
      <alignment horizontal="center"/>
    </xf>
    <xf numFmtId="0" fontId="9" fillId="0" borderId="18" xfId="4" applyFont="1" applyBorder="1" applyAlignment="1">
      <alignment horizontal="left" vertical="center"/>
    </xf>
    <xf numFmtId="0" fontId="9" fillId="0" borderId="33" xfId="4" applyFont="1" applyBorder="1" applyAlignment="1">
      <alignment horizontal="left" vertical="center"/>
    </xf>
    <xf numFmtId="0" fontId="9" fillId="0" borderId="35" xfId="4" applyFont="1" applyBorder="1" applyAlignment="1">
      <alignment horizontal="left" vertical="center"/>
    </xf>
    <xf numFmtId="0" fontId="9" fillId="0" borderId="36" xfId="4" applyFont="1" applyBorder="1" applyAlignment="1">
      <alignment horizontal="left" vertical="center"/>
    </xf>
    <xf numFmtId="0" fontId="9" fillId="0" borderId="57" xfId="4" applyFont="1" applyBorder="1" applyAlignment="1">
      <alignment horizontal="center"/>
    </xf>
    <xf numFmtId="167" fontId="9" fillId="0" borderId="51" xfId="4" applyNumberFormat="1" applyFont="1" applyBorder="1" applyAlignment="1">
      <alignment horizontal="right" vertical="center"/>
    </xf>
    <xf numFmtId="167" fontId="9" fillId="0" borderId="52" xfId="4" applyNumberFormat="1" applyFont="1" applyBorder="1" applyAlignment="1">
      <alignment horizontal="right" vertical="center"/>
    </xf>
    <xf numFmtId="0" fontId="9" fillId="0" borderId="56" xfId="4" applyFont="1" applyBorder="1" applyAlignment="1">
      <alignment horizontal="center"/>
    </xf>
    <xf numFmtId="0" fontId="8" fillId="0" borderId="0" xfId="5"/>
    <xf numFmtId="0" fontId="9" fillId="0" borderId="48" xfId="5" applyFont="1" applyBorder="1" applyAlignment="1">
      <alignment horizontal="center" wrapText="1"/>
    </xf>
    <xf numFmtId="0" fontId="9" fillId="0" borderId="49" xfId="5" applyFont="1" applyBorder="1" applyAlignment="1">
      <alignment horizontal="center" wrapText="1"/>
    </xf>
    <xf numFmtId="0" fontId="9" fillId="0" borderId="15" xfId="5" applyFont="1" applyBorder="1" applyAlignment="1">
      <alignment horizontal="left" vertical="top" wrapText="1"/>
    </xf>
    <xf numFmtId="170" fontId="9" fillId="0" borderId="29" xfId="5" applyNumberFormat="1" applyFont="1" applyBorder="1" applyAlignment="1">
      <alignment horizontal="right" vertical="center"/>
    </xf>
    <xf numFmtId="169" fontId="9" fillId="0" borderId="30" xfId="5" applyNumberFormat="1" applyFont="1" applyBorder="1" applyAlignment="1">
      <alignment horizontal="right" vertical="center"/>
    </xf>
    <xf numFmtId="0" fontId="9" fillId="0" borderId="17" xfId="5" applyFont="1" applyBorder="1" applyAlignment="1">
      <alignment horizontal="left" vertical="top" wrapText="1"/>
    </xf>
    <xf numFmtId="170" fontId="9" fillId="0" borderId="32" xfId="5" applyNumberFormat="1" applyFont="1" applyBorder="1" applyAlignment="1">
      <alignment horizontal="right" vertical="center"/>
    </xf>
    <xf numFmtId="169" fontId="9" fillId="0" borderId="33" xfId="5" applyNumberFormat="1" applyFont="1" applyBorder="1" applyAlignment="1">
      <alignment horizontal="right" vertical="center"/>
    </xf>
    <xf numFmtId="0" fontId="9" fillId="0" borderId="25" xfId="5" applyFont="1" applyBorder="1" applyAlignment="1">
      <alignment horizontal="left" vertical="top" wrapText="1"/>
    </xf>
    <xf numFmtId="170" fontId="9" fillId="0" borderId="34" xfId="5" applyNumberFormat="1" applyFont="1" applyBorder="1" applyAlignment="1">
      <alignment horizontal="right" vertical="center"/>
    </xf>
    <xf numFmtId="169" fontId="9" fillId="0" borderId="36" xfId="5" applyNumberFormat="1" applyFont="1" applyBorder="1" applyAlignment="1">
      <alignment horizontal="right" vertical="center"/>
    </xf>
    <xf numFmtId="167" fontId="9" fillId="0" borderId="48" xfId="5" applyNumberFormat="1" applyFont="1" applyBorder="1" applyAlignment="1">
      <alignment horizontal="right" vertical="center"/>
    </xf>
    <xf numFmtId="167" fontId="9" fillId="0" borderId="55" xfId="5" applyNumberFormat="1" applyFont="1" applyBorder="1" applyAlignment="1">
      <alignment horizontal="right" vertical="center"/>
    </xf>
    <xf numFmtId="165" fontId="9" fillId="0" borderId="49" xfId="5" applyNumberFormat="1" applyFont="1" applyBorder="1" applyAlignment="1">
      <alignment horizontal="right" vertical="center"/>
    </xf>
    <xf numFmtId="0" fontId="9" fillId="0" borderId="48" xfId="5" applyFont="1" applyBorder="1" applyAlignment="1">
      <alignment horizontal="center"/>
    </xf>
    <xf numFmtId="0" fontId="9" fillId="0" borderId="55" xfId="5" applyFont="1" applyBorder="1" applyAlignment="1">
      <alignment horizontal="center"/>
    </xf>
    <xf numFmtId="0" fontId="9" fillId="0" borderId="49" xfId="5" applyFont="1" applyBorder="1" applyAlignment="1">
      <alignment horizontal="center"/>
    </xf>
    <xf numFmtId="166" fontId="9" fillId="0" borderId="29" xfId="5" applyNumberFormat="1" applyFont="1" applyBorder="1" applyAlignment="1">
      <alignment horizontal="right" vertical="center"/>
    </xf>
    <xf numFmtId="166" fontId="9" fillId="0" borderId="16" xfId="5" applyNumberFormat="1" applyFont="1" applyBorder="1" applyAlignment="1">
      <alignment horizontal="right" vertical="center"/>
    </xf>
    <xf numFmtId="167" fontId="9" fillId="0" borderId="16" xfId="5" applyNumberFormat="1" applyFont="1" applyBorder="1" applyAlignment="1">
      <alignment horizontal="right" vertical="center"/>
    </xf>
    <xf numFmtId="165" fontId="9" fillId="0" borderId="30" xfId="5" applyNumberFormat="1" applyFont="1" applyBorder="1" applyAlignment="1">
      <alignment horizontal="right" vertical="center"/>
    </xf>
    <xf numFmtId="166" fontId="9" fillId="0" borderId="32" xfId="5" applyNumberFormat="1" applyFont="1" applyBorder="1" applyAlignment="1">
      <alignment horizontal="right" vertical="center"/>
    </xf>
    <xf numFmtId="166" fontId="9" fillId="0" borderId="18" xfId="5" applyNumberFormat="1" applyFont="1" applyBorder="1" applyAlignment="1">
      <alignment horizontal="right" vertical="center"/>
    </xf>
    <xf numFmtId="165" fontId="9" fillId="0" borderId="33" xfId="5" applyNumberFormat="1" applyFont="1" applyBorder="1" applyAlignment="1">
      <alignment horizontal="right" vertical="center"/>
    </xf>
    <xf numFmtId="167" fontId="9" fillId="0" borderId="34" xfId="5" applyNumberFormat="1" applyFont="1" applyBorder="1" applyAlignment="1">
      <alignment horizontal="right" vertical="center"/>
    </xf>
    <xf numFmtId="167" fontId="9" fillId="0" borderId="35" xfId="5" applyNumberFormat="1" applyFont="1" applyBorder="1" applyAlignment="1">
      <alignment horizontal="right" vertical="center"/>
    </xf>
    <xf numFmtId="166" fontId="9" fillId="0" borderId="35" xfId="5" applyNumberFormat="1" applyFont="1" applyBorder="1" applyAlignment="1">
      <alignment horizontal="right" vertical="center"/>
    </xf>
    <xf numFmtId="165" fontId="9" fillId="0" borderId="36" xfId="5" applyNumberFormat="1" applyFont="1" applyBorder="1" applyAlignment="1">
      <alignment horizontal="right" vertical="center"/>
    </xf>
    <xf numFmtId="0" fontId="8" fillId="0" borderId="0" xfId="5" applyAlignment="1"/>
    <xf numFmtId="0" fontId="9" fillId="0" borderId="50" xfId="5" applyFont="1" applyBorder="1" applyAlignment="1">
      <alignment horizontal="left" vertical="top"/>
    </xf>
    <xf numFmtId="0" fontId="9" fillId="0" borderId="51" xfId="5" applyFont="1" applyBorder="1" applyAlignment="1">
      <alignment horizontal="left" vertical="top"/>
    </xf>
    <xf numFmtId="0" fontId="9" fillId="0" borderId="52" xfId="5" applyFont="1" applyBorder="1" applyAlignment="1">
      <alignment horizontal="left" vertical="top"/>
    </xf>
    <xf numFmtId="168" fontId="9" fillId="0" borderId="29" xfId="5" applyNumberFormat="1" applyFont="1" applyBorder="1" applyAlignment="1">
      <alignment horizontal="right" vertical="center"/>
    </xf>
    <xf numFmtId="167" fontId="9" fillId="0" borderId="30" xfId="5" applyNumberFormat="1" applyFont="1" applyBorder="1" applyAlignment="1">
      <alignment horizontal="right" vertical="center"/>
    </xf>
    <xf numFmtId="168" fontId="9" fillId="0" borderId="32" xfId="5" applyNumberFormat="1" applyFont="1" applyBorder="1" applyAlignment="1">
      <alignment horizontal="right" vertical="center"/>
    </xf>
    <xf numFmtId="167" fontId="9" fillId="0" borderId="18" xfId="5" applyNumberFormat="1" applyFont="1" applyBorder="1" applyAlignment="1">
      <alignment horizontal="right" vertical="center"/>
    </xf>
    <xf numFmtId="167" fontId="9" fillId="0" borderId="33" xfId="5" applyNumberFormat="1" applyFont="1" applyBorder="1" applyAlignment="1">
      <alignment horizontal="right" vertical="center"/>
    </xf>
    <xf numFmtId="168" fontId="9" fillId="0" borderId="34" xfId="5" applyNumberFormat="1" applyFont="1" applyBorder="1" applyAlignment="1">
      <alignment horizontal="right" vertical="center"/>
    </xf>
    <xf numFmtId="167" fontId="9" fillId="0" borderId="36" xfId="5" applyNumberFormat="1" applyFont="1" applyBorder="1" applyAlignment="1">
      <alignment horizontal="right"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2" fontId="7" fillId="0" borderId="0" xfId="0" applyNumberFormat="1" applyFont="1"/>
    <xf numFmtId="2" fontId="13" fillId="0" borderId="1" xfId="1" applyNumberFormat="1" applyFont="1" applyBorder="1" applyAlignment="1">
      <alignment horizontal="center" vertical="center"/>
    </xf>
    <xf numFmtId="2" fontId="7" fillId="0" borderId="0" xfId="0" applyNumberFormat="1" applyFont="1" applyAlignment="1">
      <alignment horizontal="center" vertical="center"/>
    </xf>
    <xf numFmtId="2" fontId="7" fillId="0" borderId="1" xfId="0" applyNumberFormat="1" applyFont="1" applyBorder="1" applyAlignment="1">
      <alignment horizontal="center" vertical="center"/>
    </xf>
    <xf numFmtId="167" fontId="9" fillId="0" borderId="1" xfId="2" applyNumberFormat="1" applyFont="1" applyBorder="1" applyAlignment="1">
      <alignment horizontal="right" vertical="center"/>
    </xf>
    <xf numFmtId="0" fontId="9" fillId="0" borderId="1" xfId="2" applyFont="1" applyBorder="1" applyAlignment="1">
      <alignment horizontal="left" vertical="top" wrapText="1"/>
    </xf>
    <xf numFmtId="166" fontId="9" fillId="0" borderId="1" xfId="2" applyNumberFormat="1" applyFont="1" applyBorder="1" applyAlignment="1">
      <alignment horizontal="right" vertical="center"/>
    </xf>
    <xf numFmtId="165" fontId="9" fillId="0" borderId="1" xfId="2" applyNumberFormat="1" applyFont="1" applyBorder="1" applyAlignment="1">
      <alignment horizontal="right" vertical="center"/>
    </xf>
    <xf numFmtId="0" fontId="9" fillId="0" borderId="1" xfId="2" applyFont="1" applyBorder="1" applyAlignment="1"/>
    <xf numFmtId="0" fontId="9" fillId="0" borderId="1" xfId="2" applyFont="1" applyBorder="1" applyAlignment="1">
      <alignment horizontal="center"/>
    </xf>
    <xf numFmtId="0" fontId="9" fillId="0" borderId="1" xfId="2" applyFont="1" applyBorder="1" applyAlignment="1">
      <alignment vertical="top"/>
    </xf>
    <xf numFmtId="0" fontId="9" fillId="0" borderId="1" xfId="2" applyFont="1" applyBorder="1" applyAlignment="1">
      <alignment horizontal="left" vertical="top"/>
    </xf>
    <xf numFmtId="0" fontId="9" fillId="0" borderId="1" xfId="2" applyFont="1" applyBorder="1" applyAlignment="1">
      <alignment horizontal="right" vertical="center"/>
    </xf>
    <xf numFmtId="0" fontId="9" fillId="0" borderId="1" xfId="2" applyFont="1" applyBorder="1" applyAlignment="1">
      <alignment horizontal="center" wrapText="1"/>
    </xf>
    <xf numFmtId="0" fontId="9" fillId="0" borderId="1" xfId="2" applyFont="1" applyBorder="1" applyAlignment="1">
      <alignment horizontal="left" vertical="center" wrapText="1"/>
    </xf>
    <xf numFmtId="0" fontId="9" fillId="0" borderId="1" xfId="2" applyFont="1" applyBorder="1" applyAlignment="1">
      <alignment horizontal="left" vertical="center"/>
    </xf>
    <xf numFmtId="0" fontId="9" fillId="0" borderId="1" xfId="3" applyFont="1" applyBorder="1" applyAlignment="1">
      <alignment horizontal="center" wrapText="1"/>
    </xf>
    <xf numFmtId="0" fontId="9" fillId="0" borderId="1" xfId="3" applyFont="1" applyBorder="1" applyAlignment="1">
      <alignment horizontal="left" vertical="top" wrapText="1"/>
    </xf>
    <xf numFmtId="168" fontId="9" fillId="0" borderId="1" xfId="3" applyNumberFormat="1" applyFont="1" applyBorder="1" applyAlignment="1">
      <alignment horizontal="right" vertical="center"/>
    </xf>
    <xf numFmtId="169" fontId="9" fillId="0" borderId="1" xfId="3" applyNumberFormat="1" applyFont="1" applyBorder="1" applyAlignment="1">
      <alignment horizontal="right" vertical="center"/>
    </xf>
    <xf numFmtId="0" fontId="9" fillId="0" borderId="1" xfId="3" applyFont="1" applyBorder="1" applyAlignment="1">
      <alignment horizontal="center"/>
    </xf>
    <xf numFmtId="0" fontId="9" fillId="0" borderId="1" xfId="3" applyFont="1" applyBorder="1" applyAlignment="1">
      <alignment horizontal="left" vertical="top"/>
    </xf>
    <xf numFmtId="167" fontId="9" fillId="0" borderId="1" xfId="3" applyNumberFormat="1" applyFont="1" applyBorder="1" applyAlignment="1">
      <alignment horizontal="right" vertical="center"/>
    </xf>
    <xf numFmtId="165" fontId="9" fillId="0" borderId="1" xfId="3" applyNumberFormat="1" applyFont="1" applyBorder="1" applyAlignment="1">
      <alignment horizontal="right" vertical="center"/>
    </xf>
    <xf numFmtId="168" fontId="9" fillId="0" borderId="1" xfId="3" applyNumberFormat="1" applyFont="1" applyBorder="1" applyAlignment="1">
      <alignment horizontal="center" vertical="center" wrapText="1"/>
    </xf>
    <xf numFmtId="166" fontId="9" fillId="0" borderId="1" xfId="3" applyNumberFormat="1" applyFont="1" applyBorder="1" applyAlignment="1">
      <alignment horizontal="center" vertical="center" wrapText="1"/>
    </xf>
    <xf numFmtId="167" fontId="9" fillId="0" borderId="1" xfId="3" applyNumberFormat="1" applyFont="1" applyBorder="1" applyAlignment="1">
      <alignment horizontal="center" vertical="center" wrapText="1"/>
    </xf>
    <xf numFmtId="0" fontId="9" fillId="0" borderId="1" xfId="3" applyFont="1" applyBorder="1" applyAlignment="1">
      <alignment horizontal="left" vertical="center"/>
    </xf>
    <xf numFmtId="0" fontId="0" fillId="0" borderId="0" xfId="0" applyAlignment="1">
      <alignment horizontal="left" vertical="center"/>
    </xf>
    <xf numFmtId="166" fontId="9" fillId="0" borderId="1" xfId="3" applyNumberFormat="1" applyFont="1" applyBorder="1" applyAlignment="1">
      <alignment horizontal="center" vertical="center"/>
    </xf>
    <xf numFmtId="167" fontId="9" fillId="0" borderId="1" xfId="3" applyNumberFormat="1" applyFont="1" applyBorder="1" applyAlignment="1">
      <alignment horizontal="center" vertical="center"/>
    </xf>
    <xf numFmtId="165" fontId="9" fillId="0" borderId="1" xfId="3" applyNumberFormat="1" applyFont="1" applyBorder="1" applyAlignment="1">
      <alignment horizontal="center" vertical="center"/>
    </xf>
    <xf numFmtId="0" fontId="0" fillId="0" borderId="1" xfId="0" applyBorder="1"/>
    <xf numFmtId="0" fontId="0" fillId="0" borderId="1" xfId="0" applyBorder="1" applyAlignment="1">
      <alignment horizontal="center"/>
    </xf>
    <xf numFmtId="0" fontId="15" fillId="4" borderId="0" xfId="6" applyFont="1" applyFill="1"/>
    <xf numFmtId="0" fontId="14" fillId="0" borderId="0" xfId="6"/>
    <xf numFmtId="0" fontId="15" fillId="0" borderId="26" xfId="6" applyFont="1" applyBorder="1" applyAlignment="1">
      <alignment horizontal="center" wrapText="1"/>
    </xf>
    <xf numFmtId="0" fontId="15" fillId="0" borderId="27" xfId="6" applyFont="1" applyBorder="1" applyAlignment="1">
      <alignment horizontal="center" wrapText="1"/>
    </xf>
    <xf numFmtId="0" fontId="15" fillId="0" borderId="15" xfId="6" applyFont="1" applyBorder="1" applyAlignment="1">
      <alignment horizontal="left" vertical="top" wrapText="1"/>
    </xf>
    <xf numFmtId="165" fontId="15" fillId="0" borderId="29" xfId="6" applyNumberFormat="1" applyFont="1" applyBorder="1" applyAlignment="1">
      <alignment horizontal="right" vertical="center"/>
    </xf>
    <xf numFmtId="165" fontId="15" fillId="0" borderId="16" xfId="6" applyNumberFormat="1" applyFont="1" applyBorder="1" applyAlignment="1">
      <alignment horizontal="right" vertical="center"/>
    </xf>
    <xf numFmtId="165" fontId="15" fillId="0" borderId="30" xfId="6" applyNumberFormat="1" applyFont="1" applyBorder="1" applyAlignment="1">
      <alignment horizontal="right" vertical="center"/>
    </xf>
    <xf numFmtId="0" fontId="15" fillId="0" borderId="17" xfId="6" applyFont="1" applyBorder="1" applyAlignment="1">
      <alignment horizontal="left" vertical="top" wrapText="1"/>
    </xf>
    <xf numFmtId="165" fontId="15" fillId="0" borderId="32" xfId="6" applyNumberFormat="1" applyFont="1" applyBorder="1" applyAlignment="1">
      <alignment horizontal="right" vertical="center"/>
    </xf>
    <xf numFmtId="165" fontId="15" fillId="0" borderId="18" xfId="6" applyNumberFormat="1" applyFont="1" applyBorder="1" applyAlignment="1">
      <alignment horizontal="right" vertical="center"/>
    </xf>
    <xf numFmtId="165" fontId="15" fillId="0" borderId="33" xfId="6" applyNumberFormat="1" applyFont="1" applyBorder="1" applyAlignment="1">
      <alignment horizontal="right" vertical="center"/>
    </xf>
    <xf numFmtId="165" fontId="15" fillId="0" borderId="34" xfId="6" applyNumberFormat="1" applyFont="1" applyBorder="1" applyAlignment="1">
      <alignment horizontal="right" vertical="center"/>
    </xf>
    <xf numFmtId="165" fontId="15" fillId="0" borderId="35" xfId="6" applyNumberFormat="1" applyFont="1" applyBorder="1" applyAlignment="1">
      <alignment horizontal="right" vertical="center"/>
    </xf>
    <xf numFmtId="165" fontId="15" fillId="0" borderId="36" xfId="6" applyNumberFormat="1" applyFont="1" applyBorder="1" applyAlignment="1">
      <alignment horizontal="right" vertical="center"/>
    </xf>
    <xf numFmtId="0" fontId="16" fillId="0" borderId="10"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8" xfId="0" applyFont="1" applyBorder="1" applyAlignment="1">
      <alignment horizontal="center" vertical="center"/>
    </xf>
    <xf numFmtId="0" fontId="19" fillId="0" borderId="5" xfId="0" applyFont="1" applyBorder="1" applyAlignment="1">
      <alignment vertical="center"/>
    </xf>
    <xf numFmtId="0" fontId="19" fillId="0" borderId="7" xfId="0" applyFont="1" applyBorder="1" applyAlignment="1">
      <alignment horizontal="center" vertical="center" wrapText="1"/>
    </xf>
    <xf numFmtId="0" fontId="19" fillId="0" borderId="9" xfId="0" applyFont="1" applyBorder="1" applyAlignment="1">
      <alignment vertical="center"/>
    </xf>
    <xf numFmtId="0" fontId="19" fillId="0" borderId="0" xfId="0" applyFont="1" applyAlignment="1">
      <alignment horizontal="center" vertical="center"/>
    </xf>
    <xf numFmtId="0" fontId="19" fillId="0" borderId="10" xfId="0" applyFont="1" applyBorder="1" applyAlignment="1">
      <alignment horizontal="center" vertical="center"/>
    </xf>
    <xf numFmtId="0" fontId="19" fillId="2" borderId="8" xfId="0" applyFont="1" applyFill="1" applyBorder="1" applyAlignment="1">
      <alignment vertical="center"/>
    </xf>
    <xf numFmtId="0" fontId="19" fillId="2" borderId="59" xfId="0" applyFont="1" applyFill="1" applyBorder="1" applyAlignment="1">
      <alignment horizontal="center" vertical="center"/>
    </xf>
    <xf numFmtId="0" fontId="19" fillId="2" borderId="7" xfId="0" applyFont="1" applyFill="1" applyBorder="1" applyAlignment="1">
      <alignment horizontal="center" vertical="center"/>
    </xf>
    <xf numFmtId="2" fontId="0" fillId="0" borderId="1" xfId="0" applyNumberFormat="1" applyBorder="1"/>
    <xf numFmtId="2" fontId="0" fillId="0" borderId="1" xfId="0" applyNumberFormat="1" applyBorder="1" applyAlignment="1">
      <alignment horizontal="center"/>
    </xf>
    <xf numFmtId="2" fontId="0" fillId="0" borderId="0" xfId="0" applyNumberFormat="1" applyAlignment="1">
      <alignment horizontal="center"/>
    </xf>
    <xf numFmtId="164" fontId="0" fillId="0" borderId="1" xfId="0" applyNumberFormat="1" applyBorder="1" applyAlignment="1">
      <alignment horizontal="center"/>
    </xf>
    <xf numFmtId="0" fontId="0" fillId="0" borderId="1" xfId="0" applyNumberFormat="1" applyBorder="1" applyAlignment="1">
      <alignment horizontal="center"/>
    </xf>
    <xf numFmtId="2" fontId="0" fillId="0" borderId="37" xfId="0" applyNumberFormat="1" applyBorder="1"/>
    <xf numFmtId="2" fontId="0" fillId="0" borderId="39" xfId="0" applyNumberFormat="1" applyBorder="1"/>
    <xf numFmtId="2" fontId="0" fillId="5" borderId="41" xfId="0" applyNumberFormat="1" applyFill="1" applyBorder="1"/>
    <xf numFmtId="2" fontId="0" fillId="5" borderId="46" xfId="0" applyNumberFormat="1" applyFill="1" applyBorder="1" applyAlignment="1">
      <alignment horizontal="center" vertical="center" wrapText="1"/>
    </xf>
    <xf numFmtId="171" fontId="0" fillId="0" borderId="38" xfId="0" applyNumberFormat="1" applyBorder="1" applyAlignment="1">
      <alignment horizontal="center" vertical="center"/>
    </xf>
    <xf numFmtId="171" fontId="0" fillId="0" borderId="40" xfId="0" applyNumberFormat="1" applyBorder="1" applyAlignment="1">
      <alignment horizontal="center" vertical="center"/>
    </xf>
    <xf numFmtId="171" fontId="0" fillId="0" borderId="19" xfId="0" applyNumberForma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justify" vertical="center"/>
    </xf>
    <xf numFmtId="0" fontId="0" fillId="0" borderId="1" xfId="0" applyBorder="1" applyAlignment="1">
      <alignment vertical="center"/>
    </xf>
    <xf numFmtId="0" fontId="3" fillId="2" borderId="1" xfId="0" applyFont="1" applyFill="1" applyBorder="1" applyAlignment="1">
      <alignment horizontal="center" vertical="center"/>
    </xf>
    <xf numFmtId="0" fontId="3" fillId="0" borderId="1" xfId="0" applyFont="1" applyBorder="1" applyAlignment="1">
      <alignment horizontal="center" vertical="center" wrapText="1"/>
    </xf>
    <xf numFmtId="0" fontId="0" fillId="0" borderId="1" xfId="0" applyBorder="1"/>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4" fillId="0" borderId="2" xfId="0" applyFont="1" applyBorder="1" applyAlignment="1">
      <alignment horizontal="justify" vertical="center"/>
    </xf>
    <xf numFmtId="0" fontId="4" fillId="0" borderId="3" xfId="0" applyFont="1" applyBorder="1" applyAlignment="1">
      <alignment horizontal="justify" vertical="center"/>
    </xf>
    <xf numFmtId="0" fontId="4" fillId="0" borderId="14" xfId="0" applyFont="1" applyBorder="1" applyAlignment="1">
      <alignment horizontal="justify" vertical="center"/>
    </xf>
    <xf numFmtId="0" fontId="2" fillId="0" borderId="1" xfId="0" applyFont="1" applyBorder="1" applyAlignment="1">
      <alignment horizontal="center"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12" xfId="0" applyBorder="1" applyAlignment="1">
      <alignment vertical="center"/>
    </xf>
    <xf numFmtId="0" fontId="0" fillId="0" borderId="13" xfId="0"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8" xfId="0" applyBorder="1" applyAlignment="1">
      <alignment vertical="center"/>
    </xf>
    <xf numFmtId="0" fontId="0" fillId="0" borderId="7" xfId="0" applyBorder="1" applyAlignment="1">
      <alignment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11" xfId="0" applyBorder="1"/>
    <xf numFmtId="0" fontId="0" fillId="0" borderId="6" xfId="0" applyBorder="1"/>
    <xf numFmtId="0" fontId="0" fillId="0" borderId="5" xfId="0" applyBorder="1"/>
    <xf numFmtId="0" fontId="7" fillId="0" borderId="1" xfId="0" applyFont="1" applyBorder="1" applyAlignment="1">
      <alignment horizontal="left" vertical="center"/>
    </xf>
    <xf numFmtId="0" fontId="1" fillId="0" borderId="1" xfId="0" applyFont="1" applyBorder="1" applyAlignment="1">
      <alignment horizontal="center" vertical="center"/>
    </xf>
    <xf numFmtId="0" fontId="0" fillId="0" borderId="1" xfId="0" applyBorder="1" applyAlignment="1">
      <alignment horizontal="center"/>
    </xf>
    <xf numFmtId="0" fontId="2" fillId="0" borderId="1" xfId="0" applyFont="1" applyBorder="1" applyAlignment="1">
      <alignment horizontal="left" vertical="center"/>
    </xf>
    <xf numFmtId="0" fontId="9" fillId="0" borderId="1" xfId="2" applyFont="1" applyBorder="1" applyAlignment="1">
      <alignment horizontal="left" vertical="top"/>
    </xf>
    <xf numFmtId="0" fontId="1" fillId="0" borderId="0" xfId="0" applyFont="1" applyAlignment="1">
      <alignment horizontal="left" vertical="center" wrapText="1"/>
    </xf>
    <xf numFmtId="0" fontId="10" fillId="0" borderId="1" xfId="2" applyFont="1" applyBorder="1" applyAlignment="1">
      <alignment horizontal="center" vertical="center"/>
    </xf>
    <xf numFmtId="0" fontId="9" fillId="0" borderId="1" xfId="2" applyFont="1" applyBorder="1" applyAlignment="1">
      <alignment horizontal="left"/>
    </xf>
    <xf numFmtId="0" fontId="9" fillId="0" borderId="1" xfId="2" applyFont="1" applyBorder="1" applyAlignment="1">
      <alignment horizontal="center"/>
    </xf>
    <xf numFmtId="0" fontId="10" fillId="0" borderId="42" xfId="2" applyFont="1" applyBorder="1" applyAlignment="1">
      <alignment horizontal="center" vertical="center"/>
    </xf>
    <xf numFmtId="0" fontId="10" fillId="0" borderId="43" xfId="2" applyFont="1" applyBorder="1" applyAlignment="1">
      <alignment horizontal="center" vertical="center"/>
    </xf>
    <xf numFmtId="0" fontId="10" fillId="0" borderId="44" xfId="2" applyFont="1" applyBorder="1" applyAlignment="1">
      <alignment horizontal="center" vertical="center"/>
    </xf>
    <xf numFmtId="0" fontId="10" fillId="0" borderId="1" xfId="2" applyFont="1" applyBorder="1" applyAlignment="1">
      <alignment horizontal="center" vertical="center" wrapText="1"/>
    </xf>
    <xf numFmtId="0" fontId="9" fillId="0" borderId="1" xfId="2" applyFont="1" applyBorder="1" applyAlignment="1">
      <alignment horizontal="left" wrapText="1"/>
    </xf>
    <xf numFmtId="0" fontId="9" fillId="0" borderId="1" xfId="2" applyFont="1" applyBorder="1" applyAlignment="1">
      <alignment horizontal="center" wrapText="1"/>
    </xf>
    <xf numFmtId="0" fontId="9" fillId="0" borderId="1" xfId="2" applyFont="1" applyBorder="1" applyAlignment="1">
      <alignment horizontal="left" vertical="top" wrapText="1"/>
    </xf>
    <xf numFmtId="0" fontId="9" fillId="0" borderId="1" xfId="3" applyFont="1" applyBorder="1" applyAlignment="1">
      <alignment horizontal="center" vertical="center" wrapText="1"/>
    </xf>
    <xf numFmtId="0" fontId="9" fillId="0" borderId="1" xfId="3" applyFont="1" applyBorder="1" applyAlignment="1">
      <alignment horizontal="left" vertical="center" wrapText="1"/>
    </xf>
    <xf numFmtId="0" fontId="9" fillId="0" borderId="1" xfId="3" applyFont="1" applyBorder="1" applyAlignment="1">
      <alignment horizontal="left" vertical="center"/>
    </xf>
    <xf numFmtId="0" fontId="9" fillId="0" borderId="1" xfId="3" applyFont="1" applyBorder="1" applyAlignment="1">
      <alignment horizontal="left" vertical="top"/>
    </xf>
    <xf numFmtId="0" fontId="10" fillId="0" borderId="1" xfId="3" applyFont="1" applyBorder="1" applyAlignment="1">
      <alignment horizontal="center" vertical="center"/>
    </xf>
    <xf numFmtId="0" fontId="9" fillId="0" borderId="1" xfId="3" applyFont="1" applyBorder="1" applyAlignment="1">
      <alignment horizontal="left"/>
    </xf>
    <xf numFmtId="0" fontId="9" fillId="0" borderId="1" xfId="3" applyFont="1" applyBorder="1" applyAlignment="1">
      <alignment horizontal="left" wrapText="1"/>
    </xf>
    <xf numFmtId="0" fontId="9" fillId="0" borderId="1" xfId="3" applyFont="1" applyBorder="1" applyAlignment="1">
      <alignment horizontal="left" vertical="top" wrapText="1"/>
    </xf>
    <xf numFmtId="0" fontId="10" fillId="0" borderId="1" xfId="3" applyFont="1" applyBorder="1" applyAlignment="1">
      <alignment horizontal="center" vertical="center" wrapText="1"/>
    </xf>
    <xf numFmtId="0" fontId="1" fillId="0" borderId="42" xfId="0" applyFont="1" applyBorder="1" applyAlignment="1">
      <alignment horizontal="center"/>
    </xf>
    <xf numFmtId="0" fontId="1" fillId="0" borderId="43" xfId="0" applyFont="1" applyBorder="1" applyAlignment="1">
      <alignment horizontal="center"/>
    </xf>
    <xf numFmtId="0" fontId="1" fillId="0" borderId="44" xfId="0" applyFont="1" applyBorder="1" applyAlignment="1">
      <alignment horizontal="center"/>
    </xf>
    <xf numFmtId="0" fontId="0" fillId="0" borderId="1" xfId="0" applyFont="1" applyBorder="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 fillId="0" borderId="12" xfId="0" applyFont="1" applyBorder="1" applyAlignment="1">
      <alignment vertical="center"/>
    </xf>
    <xf numFmtId="0" fontId="3" fillId="0" borderId="9" xfId="0" applyFont="1" applyBorder="1" applyAlignment="1">
      <alignment vertical="center"/>
    </xf>
    <xf numFmtId="0" fontId="0" fillId="0" borderId="58" xfId="0" applyBorder="1" applyAlignment="1">
      <alignment vertical="center"/>
    </xf>
    <xf numFmtId="0" fontId="3" fillId="0" borderId="2" xfId="0" applyFont="1" applyBorder="1" applyAlignment="1">
      <alignment vertical="center"/>
    </xf>
    <xf numFmtId="0" fontId="3" fillId="0" borderId="4" xfId="0" applyFont="1" applyBorder="1" applyAlignment="1">
      <alignment vertical="center"/>
    </xf>
    <xf numFmtId="0" fontId="19" fillId="0" borderId="2" xfId="0" applyFont="1" applyBorder="1" applyAlignment="1">
      <alignment vertical="center"/>
    </xf>
    <xf numFmtId="0" fontId="19" fillId="0" borderId="3" xfId="0" applyFont="1" applyBorder="1" applyAlignment="1">
      <alignment vertical="center"/>
    </xf>
    <xf numFmtId="0" fontId="19" fillId="0" borderId="4" xfId="0" applyFont="1" applyBorder="1" applyAlignment="1">
      <alignment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9" fillId="0" borderId="0" xfId="4" applyFont="1" applyBorder="1" applyAlignment="1">
      <alignment horizontal="left" vertical="top"/>
    </xf>
    <xf numFmtId="0" fontId="9" fillId="0" borderId="31" xfId="4" applyFont="1" applyBorder="1" applyAlignment="1">
      <alignment horizontal="left" vertical="top"/>
    </xf>
    <xf numFmtId="0" fontId="9" fillId="0" borderId="24" xfId="4" applyFont="1" applyBorder="1" applyAlignment="1">
      <alignment horizontal="left" vertical="top"/>
    </xf>
    <xf numFmtId="0" fontId="10" fillId="0" borderId="0" xfId="4" applyFont="1" applyBorder="1" applyAlignment="1">
      <alignment horizontal="center" vertical="center"/>
    </xf>
    <xf numFmtId="0" fontId="9" fillId="0" borderId="47" xfId="4" applyFont="1" applyBorder="1" applyAlignment="1">
      <alignment horizontal="left"/>
    </xf>
    <xf numFmtId="0" fontId="10" fillId="0" borderId="0" xfId="4" applyFont="1" applyBorder="1" applyAlignment="1">
      <alignment horizontal="center" vertical="center" wrapText="1"/>
    </xf>
    <xf numFmtId="0" fontId="9" fillId="0" borderId="50" xfId="4" applyFont="1" applyBorder="1" applyAlignment="1">
      <alignment horizontal="left" wrapText="1"/>
    </xf>
    <xf numFmtId="0" fontId="9" fillId="0" borderId="52" xfId="4" applyFont="1" applyBorder="1" applyAlignment="1">
      <alignment horizontal="left" wrapText="1"/>
    </xf>
    <xf numFmtId="0" fontId="9" fillId="0" borderId="21" xfId="4" applyFont="1" applyBorder="1" applyAlignment="1">
      <alignment horizontal="center" wrapText="1"/>
    </xf>
    <xf numFmtId="0" fontId="9" fillId="0" borderId="22" xfId="4" applyFont="1" applyBorder="1" applyAlignment="1">
      <alignment horizontal="center" wrapText="1"/>
    </xf>
    <xf numFmtId="0" fontId="9" fillId="0" borderId="23" xfId="4" applyFont="1" applyBorder="1" applyAlignment="1">
      <alignment horizontal="center" wrapText="1"/>
    </xf>
    <xf numFmtId="0" fontId="9" fillId="0" borderId="0" xfId="4" applyFont="1" applyBorder="1" applyAlignment="1">
      <alignment horizontal="left" vertical="top" wrapText="1"/>
    </xf>
    <xf numFmtId="0" fontId="9" fillId="0" borderId="20" xfId="4" applyFont="1" applyBorder="1" applyAlignment="1">
      <alignment horizontal="left" vertical="top" wrapText="1"/>
    </xf>
    <xf numFmtId="0" fontId="9" fillId="0" borderId="15" xfId="4" applyFont="1" applyBorder="1" applyAlignment="1">
      <alignment horizontal="left" vertical="top" wrapText="1"/>
    </xf>
    <xf numFmtId="0" fontId="9" fillId="0" borderId="31" xfId="4" applyFont="1" applyBorder="1" applyAlignment="1">
      <alignment horizontal="left" vertical="top" wrapText="1"/>
    </xf>
    <xf numFmtId="0" fontId="9" fillId="0" borderId="24" xfId="4" applyFont="1" applyBorder="1" applyAlignment="1">
      <alignment horizontal="left" vertical="top" wrapText="1"/>
    </xf>
    <xf numFmtId="0" fontId="9" fillId="0" borderId="53" xfId="4" applyFont="1" applyBorder="1" applyAlignment="1">
      <alignment horizontal="left"/>
    </xf>
    <xf numFmtId="0" fontId="9" fillId="0" borderId="54" xfId="4" applyFont="1" applyBorder="1" applyAlignment="1">
      <alignment horizontal="left"/>
    </xf>
    <xf numFmtId="0" fontId="9" fillId="0" borderId="20" xfId="4" applyFont="1" applyBorder="1" applyAlignment="1">
      <alignment horizontal="left" vertical="top"/>
    </xf>
    <xf numFmtId="0" fontId="9" fillId="0" borderId="50" xfId="4" applyFont="1" applyBorder="1" applyAlignment="1">
      <alignment horizontal="left"/>
    </xf>
    <xf numFmtId="0" fontId="9" fillId="0" borderId="52" xfId="4" applyFont="1" applyBorder="1" applyAlignment="1">
      <alignment horizontal="left"/>
    </xf>
    <xf numFmtId="0" fontId="9" fillId="0" borderId="21" xfId="4" applyFont="1" applyBorder="1" applyAlignment="1">
      <alignment horizontal="center"/>
    </xf>
    <xf numFmtId="0" fontId="9" fillId="0" borderId="23" xfId="4" applyFont="1" applyBorder="1" applyAlignment="1">
      <alignment horizontal="center"/>
    </xf>
    <xf numFmtId="0" fontId="9" fillId="0" borderId="22" xfId="4" applyFont="1" applyBorder="1" applyAlignment="1">
      <alignment horizontal="center"/>
    </xf>
    <xf numFmtId="0" fontId="9" fillId="0" borderId="15" xfId="4" applyFont="1" applyBorder="1" applyAlignment="1">
      <alignment horizontal="left" vertical="top"/>
    </xf>
    <xf numFmtId="0" fontId="9" fillId="0" borderId="20" xfId="5" applyFont="1" applyBorder="1" applyAlignment="1">
      <alignment horizontal="left" vertical="top" wrapText="1"/>
    </xf>
    <xf numFmtId="0" fontId="9" fillId="0" borderId="31" xfId="5" applyFont="1" applyBorder="1" applyAlignment="1">
      <alignment horizontal="left" vertical="top" wrapText="1"/>
    </xf>
    <xf numFmtId="0" fontId="9" fillId="0" borderId="24" xfId="5" applyFont="1" applyBorder="1" applyAlignment="1">
      <alignment horizontal="left" vertical="top" wrapText="1"/>
    </xf>
    <xf numFmtId="0" fontId="9" fillId="0" borderId="0" xfId="5" applyFont="1" applyBorder="1" applyAlignment="1">
      <alignment horizontal="left" vertical="top" wrapText="1"/>
    </xf>
    <xf numFmtId="0" fontId="10" fillId="0" borderId="0" xfId="5" applyFont="1" applyBorder="1" applyAlignment="1">
      <alignment horizontal="center" vertical="center"/>
    </xf>
    <xf numFmtId="0" fontId="9" fillId="0" borderId="47" xfId="5" applyFont="1" applyBorder="1" applyAlignment="1">
      <alignment horizontal="left"/>
    </xf>
    <xf numFmtId="0" fontId="9" fillId="0" borderId="53" xfId="5" applyFont="1" applyBorder="1" applyAlignment="1">
      <alignment horizontal="left" wrapText="1"/>
    </xf>
    <xf numFmtId="0" fontId="9" fillId="0" borderId="54" xfId="5" applyFont="1" applyBorder="1" applyAlignment="1">
      <alignment horizontal="left" wrapText="1"/>
    </xf>
    <xf numFmtId="0" fontId="10" fillId="0" borderId="0" xfId="5" applyFont="1" applyBorder="1" applyAlignment="1">
      <alignment horizontal="center" vertical="center" wrapText="1"/>
    </xf>
    <xf numFmtId="0" fontId="4" fillId="0" borderId="14" xfId="0" applyFont="1" applyBorder="1" applyAlignment="1">
      <alignment horizontal="center" vertical="center"/>
    </xf>
    <xf numFmtId="0" fontId="3" fillId="0" borderId="9" xfId="0" applyFont="1" applyBorder="1" applyAlignment="1">
      <alignment vertical="center" wrapText="1"/>
    </xf>
    <xf numFmtId="0" fontId="1" fillId="0" borderId="42"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4" xfId="0" applyFont="1" applyBorder="1" applyAlignment="1">
      <alignment horizontal="center" vertical="center" wrapText="1"/>
    </xf>
    <xf numFmtId="0" fontId="19" fillId="0" borderId="1" xfId="0" applyFont="1" applyBorder="1" applyAlignment="1">
      <alignment horizontal="center" vertical="center"/>
    </xf>
    <xf numFmtId="0" fontId="19" fillId="0" borderId="42" xfId="0" applyFont="1" applyBorder="1" applyAlignment="1">
      <alignment horizontal="center" vertical="center"/>
    </xf>
    <xf numFmtId="0" fontId="19" fillId="0" borderId="43" xfId="0" applyFont="1" applyBorder="1" applyAlignment="1">
      <alignment horizontal="center" vertical="center"/>
    </xf>
    <xf numFmtId="0" fontId="19" fillId="0" borderId="44" xfId="0" applyFont="1" applyBorder="1" applyAlignment="1">
      <alignment horizontal="center" vertical="center"/>
    </xf>
    <xf numFmtId="0" fontId="3" fillId="0" borderId="14" xfId="0" applyFont="1" applyBorder="1" applyAlignment="1">
      <alignment vertical="center"/>
    </xf>
    <xf numFmtId="0" fontId="0" fillId="0" borderId="39" xfId="0" applyBorder="1" applyAlignment="1">
      <alignment horizontal="center" vertical="center"/>
    </xf>
    <xf numFmtId="0" fontId="0" fillId="0" borderId="41" xfId="0" applyBorder="1" applyAlignment="1">
      <alignment horizontal="center" vertical="center"/>
    </xf>
    <xf numFmtId="0" fontId="3" fillId="0" borderId="14" xfId="0" applyFont="1" applyBorder="1" applyAlignment="1">
      <alignment horizontal="center" vertical="center"/>
    </xf>
    <xf numFmtId="0" fontId="4" fillId="0" borderId="42" xfId="0" applyFont="1" applyBorder="1" applyAlignment="1">
      <alignment horizontal="center" vertical="center"/>
    </xf>
    <xf numFmtId="0" fontId="4" fillId="0" borderId="44" xfId="0" applyFont="1" applyBorder="1" applyAlignment="1">
      <alignment horizontal="center" vertical="center"/>
    </xf>
    <xf numFmtId="0" fontId="0" fillId="0" borderId="37" xfId="0" applyBorder="1" applyAlignment="1">
      <alignment horizontal="center" vertical="center"/>
    </xf>
    <xf numFmtId="0" fontId="15" fillId="0" borderId="24" xfId="6" applyFont="1" applyBorder="1" applyAlignment="1">
      <alignment horizontal="left" vertical="top" wrapText="1"/>
    </xf>
    <xf numFmtId="0" fontId="15" fillId="0" borderId="25" xfId="6" applyFont="1" applyBorder="1" applyAlignment="1">
      <alignment horizontal="left" vertical="top" wrapText="1"/>
    </xf>
    <xf numFmtId="0" fontId="10" fillId="0" borderId="0" xfId="6" applyFont="1" applyBorder="1" applyAlignment="1">
      <alignment horizontal="center" vertical="center" wrapText="1"/>
    </xf>
    <xf numFmtId="0" fontId="15" fillId="0" borderId="20" xfId="6" applyFont="1" applyBorder="1" applyAlignment="1">
      <alignment horizontal="left" wrapText="1"/>
    </xf>
    <xf numFmtId="0" fontId="15" fillId="0" borderId="15" xfId="6" applyFont="1" applyBorder="1" applyAlignment="1">
      <alignment horizontal="left" wrapText="1"/>
    </xf>
    <xf numFmtId="0" fontId="15" fillId="0" borderId="24" xfId="6" applyFont="1" applyBorder="1" applyAlignment="1">
      <alignment horizontal="left" wrapText="1"/>
    </xf>
    <xf numFmtId="0" fontId="15" fillId="0" borderId="25" xfId="6" applyFont="1" applyBorder="1" applyAlignment="1">
      <alignment horizontal="left" wrapText="1"/>
    </xf>
    <xf numFmtId="0" fontId="15" fillId="0" borderId="21" xfId="6" applyFont="1" applyBorder="1" applyAlignment="1">
      <alignment horizontal="center" wrapText="1"/>
    </xf>
    <xf numFmtId="0" fontId="15" fillId="0" borderId="22" xfId="6" applyFont="1" applyBorder="1" applyAlignment="1">
      <alignment horizontal="center" wrapText="1"/>
    </xf>
    <xf numFmtId="0" fontId="15" fillId="0" borderId="23" xfId="6" applyFont="1" applyBorder="1" applyAlignment="1">
      <alignment horizontal="center" wrapText="1"/>
    </xf>
    <xf numFmtId="0" fontId="15" fillId="0" borderId="28" xfId="6" applyFont="1" applyBorder="1" applyAlignment="1">
      <alignment horizontal="center" wrapText="1"/>
    </xf>
    <xf numFmtId="0" fontId="15" fillId="0" borderId="20" xfId="6" applyFont="1" applyBorder="1" applyAlignment="1">
      <alignment horizontal="left" vertical="top" wrapText="1"/>
    </xf>
    <xf numFmtId="0" fontId="15" fillId="0" borderId="31" xfId="6" applyFont="1" applyBorder="1" applyAlignment="1">
      <alignment horizontal="left" vertical="top" wrapText="1"/>
    </xf>
  </cellXfs>
  <cellStyles count="7">
    <cellStyle name="Normal" xfId="0" builtinId="0"/>
    <cellStyle name="Normal_ACP udp" xfId="4"/>
    <cellStyle name="Normal_Alfa udp" xfId="5"/>
    <cellStyle name="Normal_Hoja1" xfId="6"/>
    <cellStyle name="Normal_Hoja13" xfId="2"/>
    <cellStyle name="Normal_Hoja14" xfId="3"/>
    <cellStyle name="Normal_Hoja4"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sharedStrings" Target="sharedStrings.xml"/><Relationship Id="rId21" Type="http://schemas.openxmlformats.org/officeDocument/2006/relationships/calcChain" Target="calcChain.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externalLink" Target="externalLinks/externalLink1.xml"/><Relationship Id="rId18" Type="http://schemas.openxmlformats.org/officeDocument/2006/relationships/theme" Target="theme/theme1.xml"/><Relationship Id="rId19" Type="http://schemas.openxmlformats.org/officeDocument/2006/relationships/styles" Target="styles.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37.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45.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47.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48.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52.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53.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54.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55.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56.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57.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58.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59.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60.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61.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62.xml"/></Relationships>
</file>

<file path=xl/charts/_rels/chart53.xml.rels><?xml version="1.0" encoding="UTF-8" standalone="yes"?>
<Relationships xmlns="http://schemas.openxmlformats.org/package/2006/relationships"><Relationship Id="rId1" Type="http://schemas.openxmlformats.org/officeDocument/2006/relationships/chartUserShapes" Target="../drawings/drawing63.xml"/></Relationships>
</file>

<file path=xl/charts/_rels/chart54.xml.rels><?xml version="1.0" encoding="UTF-8" standalone="yes"?>
<Relationships xmlns="http://schemas.openxmlformats.org/package/2006/relationships"><Relationship Id="rId1" Type="http://schemas.openxmlformats.org/officeDocument/2006/relationships/chartUserShapes" Target="../drawings/drawing64.xml"/></Relationships>
</file>

<file path=xl/charts/_rels/chart55.xml.rels><?xml version="1.0" encoding="UTF-8" standalone="yes"?>
<Relationships xmlns="http://schemas.openxmlformats.org/package/2006/relationships"><Relationship Id="rId1" Type="http://schemas.openxmlformats.org/officeDocument/2006/relationships/chartUserShapes" Target="../drawings/drawing65.xml"/></Relationships>
</file>

<file path=xl/charts/_rels/chart56.xml.rels><?xml version="1.0" encoding="UTF-8" standalone="yes"?>
<Relationships xmlns="http://schemas.openxmlformats.org/package/2006/relationships"><Relationship Id="rId1" Type="http://schemas.openxmlformats.org/officeDocument/2006/relationships/chartUserShapes" Target="../drawings/drawing66.xml"/></Relationships>
</file>

<file path=xl/charts/_rels/chart57.xml.rels><?xml version="1.0" encoding="UTF-8" standalone="yes"?>
<Relationships xmlns="http://schemas.openxmlformats.org/package/2006/relationships"><Relationship Id="rId1" Type="http://schemas.openxmlformats.org/officeDocument/2006/relationships/chartUserShapes" Target="../drawings/drawing67.xml"/></Relationships>
</file>

<file path=xl/charts/_rels/chart58.xml.rels><?xml version="1.0" encoding="UTF-8" standalone="yes"?>
<Relationships xmlns="http://schemas.openxmlformats.org/package/2006/relationships"><Relationship Id="rId1" Type="http://schemas.openxmlformats.org/officeDocument/2006/relationships/chartUserShapes" Target="../drawings/drawing68.xml"/></Relationships>
</file>

<file path=xl/charts/_rels/chart59.xml.rels><?xml version="1.0" encoding="UTF-8" standalone="yes"?>
<Relationships xmlns="http://schemas.openxmlformats.org/package/2006/relationships"><Relationship Id="rId1" Type="http://schemas.openxmlformats.org/officeDocument/2006/relationships/chartUserShapes" Target="../drawings/drawing69.xml"/></Relationships>
</file>

<file path=xl/charts/_rels/chart60.xml.rels><?xml version="1.0" encoding="UTF-8" standalone="yes"?>
<Relationships xmlns="http://schemas.openxmlformats.org/package/2006/relationships"><Relationship Id="rId1" Type="http://schemas.openxmlformats.org/officeDocument/2006/relationships/chartUserShapes" Target="../drawings/drawing70.xml"/></Relationships>
</file>

<file path=xl/charts/_rels/chart61.xml.rels><?xml version="1.0" encoding="UTF-8" standalone="yes"?>
<Relationships xmlns="http://schemas.openxmlformats.org/package/2006/relationships"><Relationship Id="rId1" Type="http://schemas.openxmlformats.org/officeDocument/2006/relationships/chartUserShapes" Target="../drawings/drawing71.xml"/></Relationships>
</file>

<file path=xl/charts/_rels/chart63.xml.rels><?xml version="1.0" encoding="UTF-8" standalone="yes"?>
<Relationships xmlns="http://schemas.openxmlformats.org/package/2006/relationships"><Relationship Id="rId1" Type="http://schemas.openxmlformats.org/officeDocument/2006/relationships/chartUserShapes" Target="../drawings/drawing72.xml"/></Relationships>
</file>

<file path=xl/charts/_rels/chart64.xml.rels><?xml version="1.0" encoding="UTF-8" standalone="yes"?>
<Relationships xmlns="http://schemas.openxmlformats.org/package/2006/relationships"><Relationship Id="rId1" Type="http://schemas.openxmlformats.org/officeDocument/2006/relationships/chartUserShapes" Target="../drawings/drawing74.xml"/></Relationships>
</file>

<file path=xl/charts/_rels/chart65.xml.rels><?xml version="1.0" encoding="UTF-8" standalone="yes"?>
<Relationships xmlns="http://schemas.openxmlformats.org/package/2006/relationships"><Relationship Id="rId1" Type="http://schemas.openxmlformats.org/officeDocument/2006/relationships/chartUserShapes" Target="../drawings/drawing75.xml"/></Relationships>
</file>

<file path=xl/charts/_rels/chart66.xml.rels><?xml version="1.0" encoding="UTF-8" standalone="yes"?>
<Relationships xmlns="http://schemas.openxmlformats.org/package/2006/relationships"><Relationship Id="rId1" Type="http://schemas.openxmlformats.org/officeDocument/2006/relationships/chartUserShapes" Target="../drawings/drawing76.xml"/></Relationships>
</file>

<file path=xl/charts/_rels/chart67.xml.rels><?xml version="1.0" encoding="UTF-8" standalone="yes"?>
<Relationships xmlns="http://schemas.openxmlformats.org/package/2006/relationships"><Relationship Id="rId1" Type="http://schemas.openxmlformats.org/officeDocument/2006/relationships/chartUserShapes" Target="../drawings/drawing77.xml"/></Relationships>
</file>

<file path=xl/charts/_rels/chart68.xml.rels><?xml version="1.0" encoding="UTF-8" standalone="yes"?>
<Relationships xmlns="http://schemas.openxmlformats.org/package/2006/relationships"><Relationship Id="rId1" Type="http://schemas.openxmlformats.org/officeDocument/2006/relationships/chartUserShapes" Target="../drawings/drawing78.xml"/></Relationships>
</file>

<file path=xl/charts/_rels/chart69.xml.rels><?xml version="1.0" encoding="UTF-8" standalone="yes"?>
<Relationships xmlns="http://schemas.openxmlformats.org/package/2006/relationships"><Relationship Id="rId1" Type="http://schemas.openxmlformats.org/officeDocument/2006/relationships/chartUserShapes" Target="../drawings/drawing79.xml"/></Relationships>
</file>

<file path=xl/charts/_rels/chart70.xml.rels><?xml version="1.0" encoding="UTF-8" standalone="yes"?>
<Relationships xmlns="http://schemas.openxmlformats.org/package/2006/relationships"><Relationship Id="rId1" Type="http://schemas.openxmlformats.org/officeDocument/2006/relationships/chartUserShapes" Target="../drawings/drawing80.xml"/></Relationships>
</file>

<file path=xl/charts/_rels/chart71.xml.rels><?xml version="1.0" encoding="UTF-8" standalone="yes"?>
<Relationships xmlns="http://schemas.openxmlformats.org/package/2006/relationships"><Relationship Id="rId1" Type="http://schemas.openxmlformats.org/officeDocument/2006/relationships/chartUserShapes" Target="../drawings/drawing81.xml"/></Relationships>
</file>

<file path=xl/charts/_rels/chart72.xml.rels><?xml version="1.0" encoding="UTF-8" standalone="yes"?>
<Relationships xmlns="http://schemas.openxmlformats.org/package/2006/relationships"><Relationship Id="rId1" Type="http://schemas.openxmlformats.org/officeDocument/2006/relationships/chartUserShapes" Target="../drawings/drawing8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494400770245"/>
          <c:y val="0.171511162123867"/>
          <c:w val="0.842420366091283"/>
          <c:h val="0.600966222680109"/>
        </c:manualLayout>
      </c:layout>
      <c:barChart>
        <c:barDir val="col"/>
        <c:grouping val="clustered"/>
        <c:varyColors val="0"/>
        <c:ser>
          <c:idx val="0"/>
          <c:order val="0"/>
          <c:tx>
            <c:strRef>
              <c:f>[1]CERC!$E$8</c:f>
              <c:strCache>
                <c:ptCount val="1"/>
                <c:pt idx="0">
                  <c:v>Dic 95</c:v>
                </c:pt>
              </c:strCache>
            </c:strRef>
          </c:tx>
          <c:invertIfNegative val="0"/>
          <c:cat>
            <c:strRef>
              <c:f>[1]CERC!$D$9:$D$11</c:f>
              <c:strCache>
                <c:ptCount val="3"/>
                <c:pt idx="0">
                  <c:v>_x0012_Hay que Reformarla</c:v>
                </c:pt>
                <c:pt idx="1">
                  <c:v>_x0017_Debe Quedarse como Está</c:v>
                </c:pt>
                <c:pt idx="2">
                  <c:v>_x0005_NS/NR</c:v>
                </c:pt>
              </c:strCache>
            </c:strRef>
          </c:cat>
          <c:val>
            <c:numRef>
              <c:f>[1]CERC!$E$9:$E$11</c:f>
              <c:numCache>
                <c:formatCode>General</c:formatCode>
                <c:ptCount val="3"/>
                <c:pt idx="0">
                  <c:v>63.0</c:v>
                </c:pt>
                <c:pt idx="1">
                  <c:v>20.0</c:v>
                </c:pt>
                <c:pt idx="2">
                  <c:v>16.0</c:v>
                </c:pt>
              </c:numCache>
            </c:numRef>
          </c:val>
        </c:ser>
        <c:ser>
          <c:idx val="1"/>
          <c:order val="1"/>
          <c:tx>
            <c:strRef>
              <c:f>[1]CERC!$F$8</c:f>
              <c:strCache>
                <c:ptCount val="1"/>
                <c:pt idx="0">
                  <c:v>May 00</c:v>
                </c:pt>
              </c:strCache>
            </c:strRef>
          </c:tx>
          <c:invertIfNegative val="0"/>
          <c:cat>
            <c:strRef>
              <c:f>[1]CERC!$D$9:$D$11</c:f>
              <c:strCache>
                <c:ptCount val="3"/>
                <c:pt idx="0">
                  <c:v>_x0012_Hay que Reformarla</c:v>
                </c:pt>
                <c:pt idx="1">
                  <c:v>_x0017_Debe Quedarse como Está</c:v>
                </c:pt>
                <c:pt idx="2">
                  <c:v>_x0005_NS/NR</c:v>
                </c:pt>
              </c:strCache>
            </c:strRef>
          </c:cat>
          <c:val>
            <c:numRef>
              <c:f>[1]CERC!$F$9:$F$11</c:f>
              <c:numCache>
                <c:formatCode>General</c:formatCode>
                <c:ptCount val="3"/>
                <c:pt idx="0">
                  <c:v>58.0</c:v>
                </c:pt>
                <c:pt idx="1">
                  <c:v>26.0</c:v>
                </c:pt>
                <c:pt idx="2">
                  <c:v>15.0</c:v>
                </c:pt>
              </c:numCache>
            </c:numRef>
          </c:val>
        </c:ser>
        <c:ser>
          <c:idx val="2"/>
          <c:order val="2"/>
          <c:tx>
            <c:strRef>
              <c:f>[1]CERC!$G$8</c:f>
              <c:strCache>
                <c:ptCount val="1"/>
                <c:pt idx="0">
                  <c:v>Abr 02</c:v>
                </c:pt>
              </c:strCache>
            </c:strRef>
          </c:tx>
          <c:invertIfNegative val="0"/>
          <c:cat>
            <c:strRef>
              <c:f>[1]CERC!$D$9:$D$11</c:f>
              <c:strCache>
                <c:ptCount val="3"/>
                <c:pt idx="0">
                  <c:v>_x0012_Hay que Reformarla</c:v>
                </c:pt>
                <c:pt idx="1">
                  <c:v>_x0017_Debe Quedarse como Está</c:v>
                </c:pt>
                <c:pt idx="2">
                  <c:v>_x0005_NS/NR</c:v>
                </c:pt>
              </c:strCache>
            </c:strRef>
          </c:cat>
          <c:val>
            <c:numRef>
              <c:f>[1]CERC!$G$9:$G$11</c:f>
              <c:numCache>
                <c:formatCode>General</c:formatCode>
                <c:ptCount val="3"/>
                <c:pt idx="0">
                  <c:v>61.0</c:v>
                </c:pt>
                <c:pt idx="1">
                  <c:v>16.0</c:v>
                </c:pt>
                <c:pt idx="2">
                  <c:v>23.0</c:v>
                </c:pt>
              </c:numCache>
            </c:numRef>
          </c:val>
        </c:ser>
        <c:ser>
          <c:idx val="3"/>
          <c:order val="3"/>
          <c:tx>
            <c:strRef>
              <c:f>[1]CERC!$H$8</c:f>
              <c:strCache>
                <c:ptCount val="1"/>
                <c:pt idx="0">
                  <c:v>Jul 09</c:v>
                </c:pt>
              </c:strCache>
            </c:strRef>
          </c:tx>
          <c:invertIfNegative val="0"/>
          <c:cat>
            <c:strRef>
              <c:f>[1]CERC!$D$9:$D$11</c:f>
              <c:strCache>
                <c:ptCount val="3"/>
                <c:pt idx="0">
                  <c:v>_x0012_Hay que Reformarla</c:v>
                </c:pt>
                <c:pt idx="1">
                  <c:v>_x0017_Debe Quedarse como Está</c:v>
                </c:pt>
                <c:pt idx="2">
                  <c:v>_x0005_NS/NR</c:v>
                </c:pt>
              </c:strCache>
            </c:strRef>
          </c:cat>
          <c:val>
            <c:numRef>
              <c:f>[1]CERC!$H$9:$H$11</c:f>
              <c:numCache>
                <c:formatCode>General</c:formatCode>
                <c:ptCount val="3"/>
                <c:pt idx="0">
                  <c:v>48.0</c:v>
                </c:pt>
                <c:pt idx="1">
                  <c:v>13.0</c:v>
                </c:pt>
                <c:pt idx="2">
                  <c:v>39.0</c:v>
                </c:pt>
              </c:numCache>
            </c:numRef>
          </c:val>
        </c:ser>
        <c:ser>
          <c:idx val="4"/>
          <c:order val="4"/>
          <c:tx>
            <c:strRef>
              <c:f>[1]CERC!$I$8</c:f>
              <c:strCache>
                <c:ptCount val="1"/>
                <c:pt idx="0">
                  <c:v>Ago 11</c:v>
                </c:pt>
              </c:strCache>
            </c:strRef>
          </c:tx>
          <c:invertIfNegative val="0"/>
          <c:cat>
            <c:strRef>
              <c:f>[1]CERC!$D$9:$D$11</c:f>
              <c:strCache>
                <c:ptCount val="3"/>
                <c:pt idx="0">
                  <c:v>_x0012_Hay que Reformarla</c:v>
                </c:pt>
                <c:pt idx="1">
                  <c:v>_x0017_Debe Quedarse como Está</c:v>
                </c:pt>
                <c:pt idx="2">
                  <c:v>_x0005_NS/NR</c:v>
                </c:pt>
              </c:strCache>
            </c:strRef>
          </c:cat>
          <c:val>
            <c:numRef>
              <c:f>[1]CERC!$I$9:$I$11</c:f>
              <c:numCache>
                <c:formatCode>General</c:formatCode>
                <c:ptCount val="3"/>
                <c:pt idx="0">
                  <c:v>75.0</c:v>
                </c:pt>
                <c:pt idx="1">
                  <c:v>9.0</c:v>
                </c:pt>
                <c:pt idx="2">
                  <c:v>17.0</c:v>
                </c:pt>
              </c:numCache>
            </c:numRef>
          </c:val>
        </c:ser>
        <c:dLbls>
          <c:showLegendKey val="0"/>
          <c:showVal val="1"/>
          <c:showCatName val="0"/>
          <c:showSerName val="0"/>
          <c:showPercent val="0"/>
          <c:showBubbleSize val="0"/>
        </c:dLbls>
        <c:gapWidth val="75"/>
        <c:axId val="1572280328"/>
        <c:axId val="1572380200"/>
      </c:barChart>
      <c:catAx>
        <c:axId val="1572280328"/>
        <c:scaling>
          <c:orientation val="minMax"/>
        </c:scaling>
        <c:delete val="0"/>
        <c:axPos val="b"/>
        <c:numFmt formatCode="General" sourceLinked="1"/>
        <c:majorTickMark val="none"/>
        <c:minorTickMark val="none"/>
        <c:tickLblPos val="nextTo"/>
        <c:crossAx val="1572380200"/>
        <c:crosses val="autoZero"/>
        <c:auto val="1"/>
        <c:lblAlgn val="ctr"/>
        <c:lblOffset val="100"/>
        <c:noMultiLvlLbl val="0"/>
      </c:catAx>
      <c:valAx>
        <c:axId val="1572380200"/>
        <c:scaling>
          <c:orientation val="minMax"/>
          <c:max val="100.0"/>
        </c:scaling>
        <c:delete val="0"/>
        <c:axPos val="l"/>
        <c:numFmt formatCode="General" sourceLinked="1"/>
        <c:majorTickMark val="none"/>
        <c:minorTickMark val="none"/>
        <c:tickLblPos val="nextTo"/>
        <c:crossAx val="1572280328"/>
        <c:crosses val="autoZero"/>
        <c:crossBetween val="between"/>
      </c:valAx>
    </c:plotArea>
    <c:legend>
      <c:legendPos val="b"/>
      <c:layout>
        <c:manualLayout>
          <c:xMode val="edge"/>
          <c:yMode val="edge"/>
          <c:x val="0.295671680668001"/>
          <c:y val="0.865785316555057"/>
          <c:w val="0.408656496405337"/>
          <c:h val="0.0563330635072485"/>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138918119106"/>
          <c:y val="0.191108496433269"/>
          <c:w val="0.639413621684386"/>
          <c:h val="0.621045476113554"/>
        </c:manualLayout>
      </c:layout>
      <c:lineChart>
        <c:grouping val="standard"/>
        <c:varyColors val="0"/>
        <c:ser>
          <c:idx val="0"/>
          <c:order val="0"/>
          <c:tx>
            <c:strRef>
              <c:f>[1]CEP!$G$1</c:f>
              <c:strCache>
                <c:ptCount val="1"/>
                <c:pt idx="0">
                  <c:v>Reformas Constitucionales</c:v>
                </c:pt>
              </c:strCache>
            </c:strRef>
          </c:tx>
          <c:cat>
            <c:strRef>
              <c:f>[1]CEP!$F$2:$F$19</c:f>
              <c:strCache>
                <c:ptCount val="18"/>
                <c:pt idx="0">
                  <c:v>_x0006_Jun 96</c:v>
                </c:pt>
                <c:pt idx="1">
                  <c:v>_x0006_Nov 96</c:v>
                </c:pt>
                <c:pt idx="2">
                  <c:v>_x0006_Jun 97</c:v>
                </c:pt>
                <c:pt idx="3">
                  <c:v>_x0006_Dic 97</c:v>
                </c:pt>
                <c:pt idx="4">
                  <c:v>_x0006_Jun 98</c:v>
                </c:pt>
                <c:pt idx="5">
                  <c:v>_x0006_Abr 99</c:v>
                </c:pt>
                <c:pt idx="6">
                  <c:v>_x0006_Sep 99</c:v>
                </c:pt>
                <c:pt idx="7">
                  <c:v>_x0006_Mar 00</c:v>
                </c:pt>
                <c:pt idx="8">
                  <c:v>_x0006_Nov 00</c:v>
                </c:pt>
                <c:pt idx="9">
                  <c:v>_x0006_Jun 01</c:v>
                </c:pt>
                <c:pt idx="10">
                  <c:v>_x0006_Dic 01</c:v>
                </c:pt>
                <c:pt idx="11">
                  <c:v>_x0006_Jul 02</c:v>
                </c:pt>
                <c:pt idx="12">
                  <c:v>_x0006_Dic 02</c:v>
                </c:pt>
                <c:pt idx="13">
                  <c:v>_x0006_Jun 03</c:v>
                </c:pt>
                <c:pt idx="14">
                  <c:v>_x0006_Dic 03</c:v>
                </c:pt>
                <c:pt idx="15">
                  <c:v>_x0006_Jun 04</c:v>
                </c:pt>
                <c:pt idx="16">
                  <c:v>_x0006_Dic 04</c:v>
                </c:pt>
                <c:pt idx="17">
                  <c:v>_x0006_Jun 05</c:v>
                </c:pt>
              </c:strCache>
            </c:strRef>
          </c:cat>
          <c:val>
            <c:numRef>
              <c:f>[1]CEP!$G$2:$G$19</c:f>
              <c:numCache>
                <c:formatCode>General</c:formatCode>
                <c:ptCount val="18"/>
                <c:pt idx="0">
                  <c:v>2.3</c:v>
                </c:pt>
                <c:pt idx="1">
                  <c:v>2.1</c:v>
                </c:pt>
                <c:pt idx="2">
                  <c:v>2.5</c:v>
                </c:pt>
                <c:pt idx="3">
                  <c:v>2.8</c:v>
                </c:pt>
                <c:pt idx="4">
                  <c:v>3.0</c:v>
                </c:pt>
                <c:pt idx="5">
                  <c:v>4.0</c:v>
                </c:pt>
                <c:pt idx="6">
                  <c:v>5.0</c:v>
                </c:pt>
                <c:pt idx="7">
                  <c:v>4.0</c:v>
                </c:pt>
                <c:pt idx="8">
                  <c:v>2.4</c:v>
                </c:pt>
                <c:pt idx="9">
                  <c:v>3.5</c:v>
                </c:pt>
                <c:pt idx="10">
                  <c:v>4.5</c:v>
                </c:pt>
                <c:pt idx="11">
                  <c:v>4.9</c:v>
                </c:pt>
                <c:pt idx="12">
                  <c:v>4.3</c:v>
                </c:pt>
                <c:pt idx="13">
                  <c:v>3.3</c:v>
                </c:pt>
                <c:pt idx="14">
                  <c:v>3.3</c:v>
                </c:pt>
                <c:pt idx="15">
                  <c:v>3.1</c:v>
                </c:pt>
                <c:pt idx="16">
                  <c:v>3.2</c:v>
                </c:pt>
                <c:pt idx="17">
                  <c:v>2.8</c:v>
                </c:pt>
              </c:numCache>
            </c:numRef>
          </c:val>
          <c:smooth val="0"/>
        </c:ser>
        <c:dLbls>
          <c:showLegendKey val="0"/>
          <c:showVal val="0"/>
          <c:showCatName val="0"/>
          <c:showSerName val="0"/>
          <c:showPercent val="0"/>
          <c:showBubbleSize val="0"/>
        </c:dLbls>
        <c:marker val="1"/>
        <c:smooth val="0"/>
        <c:axId val="1571993048"/>
        <c:axId val="1572015768"/>
      </c:lineChart>
      <c:catAx>
        <c:axId val="1571993048"/>
        <c:scaling>
          <c:orientation val="minMax"/>
        </c:scaling>
        <c:delete val="0"/>
        <c:axPos val="b"/>
        <c:majorTickMark val="out"/>
        <c:minorTickMark val="none"/>
        <c:tickLblPos val="nextTo"/>
        <c:crossAx val="1572015768"/>
        <c:crosses val="autoZero"/>
        <c:auto val="1"/>
        <c:lblAlgn val="ctr"/>
        <c:lblOffset val="100"/>
        <c:noMultiLvlLbl val="0"/>
      </c:catAx>
      <c:valAx>
        <c:axId val="1572015768"/>
        <c:scaling>
          <c:orientation val="minMax"/>
          <c:max val="10.0"/>
        </c:scaling>
        <c:delete val="0"/>
        <c:axPos val="l"/>
        <c:numFmt formatCode="General" sourceLinked="1"/>
        <c:majorTickMark val="out"/>
        <c:minorTickMark val="none"/>
        <c:tickLblPos val="nextTo"/>
        <c:crossAx val="1571993048"/>
        <c:crosses val="autoZero"/>
        <c:crossBetween val="between"/>
      </c:valAx>
    </c:plotArea>
    <c:legend>
      <c:legendPos val="r"/>
      <c:layout>
        <c:manualLayout>
          <c:xMode val="edge"/>
          <c:yMode val="edge"/>
          <c:x val="0.77222637492894"/>
          <c:y val="0.556078815373319"/>
          <c:w val="0.213436707508336"/>
          <c:h val="0.112852139743721"/>
        </c:manualLayout>
      </c:layout>
      <c:overlay val="0"/>
    </c:legend>
    <c:plotVisOnly val="1"/>
    <c:dispBlanksAs val="gap"/>
    <c:showDLblsOverMax val="0"/>
  </c:chart>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948014562696"/>
          <c:y val="0.179982867676788"/>
          <c:w val="0.823686394039455"/>
          <c:h val="0.609893711066796"/>
        </c:manualLayout>
      </c:layout>
      <c:barChart>
        <c:barDir val="col"/>
        <c:grouping val="clustered"/>
        <c:varyColors val="0"/>
        <c:ser>
          <c:idx val="0"/>
          <c:order val="0"/>
          <c:tx>
            <c:strRef>
              <c:f>[1]UDP!$A$2</c:f>
              <c:strCache>
                <c:ptCount val="1"/>
                <c:pt idx="0">
                  <c:v>Total</c:v>
                </c:pt>
              </c:strCache>
            </c:strRef>
          </c:tx>
          <c:invertIfNegative val="0"/>
          <c:cat>
            <c:strRef>
              <c:f>[1]UDP!$B$1:$D$1</c:f>
              <c:strCache>
                <c:ptCount val="3"/>
                <c:pt idx="0">
                  <c:v>_x0013_Hacer un Plebiscito</c:v>
                </c:pt>
                <c:pt idx="1">
                  <c:v>,Convocar a un Grupo de Expertos para Decidir</c:v>
                </c:pt>
                <c:pt idx="2">
                  <c:v>_x0005_NS/NR</c:v>
                </c:pt>
              </c:strCache>
            </c:strRef>
          </c:cat>
          <c:val>
            <c:numRef>
              <c:f>[1]UDP!$B$2:$D$2</c:f>
              <c:numCache>
                <c:formatCode>General</c:formatCode>
                <c:ptCount val="3"/>
                <c:pt idx="0">
                  <c:v>54.6</c:v>
                </c:pt>
                <c:pt idx="1">
                  <c:v>37.3</c:v>
                </c:pt>
                <c:pt idx="2">
                  <c:v>8.1</c:v>
                </c:pt>
              </c:numCache>
            </c:numRef>
          </c:val>
        </c:ser>
        <c:dLbls>
          <c:showLegendKey val="0"/>
          <c:showVal val="1"/>
          <c:showCatName val="0"/>
          <c:showSerName val="0"/>
          <c:showPercent val="0"/>
          <c:showBubbleSize val="0"/>
        </c:dLbls>
        <c:gapWidth val="75"/>
        <c:axId val="1571948824"/>
        <c:axId val="1572285496"/>
      </c:barChart>
      <c:catAx>
        <c:axId val="1571948824"/>
        <c:scaling>
          <c:orientation val="minMax"/>
        </c:scaling>
        <c:delete val="0"/>
        <c:axPos val="b"/>
        <c:majorTickMark val="none"/>
        <c:minorTickMark val="none"/>
        <c:tickLblPos val="nextTo"/>
        <c:crossAx val="1572285496"/>
        <c:crosses val="autoZero"/>
        <c:auto val="1"/>
        <c:lblAlgn val="ctr"/>
        <c:lblOffset val="100"/>
        <c:noMultiLvlLbl val="0"/>
      </c:catAx>
      <c:valAx>
        <c:axId val="1572285496"/>
        <c:scaling>
          <c:orientation val="minMax"/>
          <c:max val="100.0"/>
        </c:scaling>
        <c:delete val="0"/>
        <c:axPos val="l"/>
        <c:numFmt formatCode="General" sourceLinked="1"/>
        <c:majorTickMark val="none"/>
        <c:minorTickMark val="none"/>
        <c:tickLblPos val="nextTo"/>
        <c:crossAx val="1571948824"/>
        <c:crosses val="autoZero"/>
        <c:crossBetween val="between"/>
      </c:valAx>
    </c:plotArea>
    <c:plotVisOnly val="1"/>
    <c:dispBlanksAs val="gap"/>
    <c:showDLblsOverMax val="0"/>
  </c:chart>
  <c:printSettings>
    <c:headerFooter/>
    <c:pageMargins b="0.75" l="0.7" r="0.7" t="0.75" header="0.3" footer="0.3"/>
    <c:pageSetup orientation="landscape"/>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823212939966663"/>
          <c:y val="0.139015034468209"/>
          <c:w val="0.896933774367313"/>
          <c:h val="0.661979238410802"/>
        </c:manualLayout>
      </c:layout>
      <c:barChart>
        <c:barDir val="col"/>
        <c:grouping val="clustered"/>
        <c:varyColors val="0"/>
        <c:ser>
          <c:idx val="0"/>
          <c:order val="0"/>
          <c:tx>
            <c:strRef>
              <c:f>[1]UDP!$AD$22</c:f>
              <c:strCache>
                <c:ptCount val="1"/>
                <c:pt idx="0">
                  <c:v>Hacer un Plebiscito</c:v>
                </c:pt>
              </c:strCache>
            </c:strRef>
          </c:tx>
          <c:invertIfNegative val="0"/>
          <c:dLbls>
            <c:numFmt formatCode="#,##0.0" sourceLinked="0"/>
            <c:showLegendKey val="0"/>
            <c:showVal val="1"/>
            <c:showCatName val="0"/>
            <c:showSerName val="0"/>
            <c:showPercent val="0"/>
            <c:showBubbleSize val="0"/>
            <c:showLeaderLines val="0"/>
          </c:dLbls>
          <c:cat>
            <c:strRef>
              <c:f>[1]UDP!$AC$23:$AC$26</c:f>
              <c:strCache>
                <c:ptCount val="4"/>
                <c:pt idx="0">
                  <c:v>
Ed. Básica</c:v>
                </c:pt>
                <c:pt idx="1">
                  <c:v>	Ed. Media</c:v>
                </c:pt>
                <c:pt idx="2">
                  <c:v>_x000c_Técnica Sup.</c:v>
                </c:pt>
                <c:pt idx="3">
                  <c:v>_x000d_Universitaria</c:v>
                </c:pt>
              </c:strCache>
            </c:strRef>
          </c:cat>
          <c:val>
            <c:numRef>
              <c:f>[1]UDP!$AD$23:$AD$26</c:f>
              <c:numCache>
                <c:formatCode>General</c:formatCode>
                <c:ptCount val="4"/>
                <c:pt idx="0">
                  <c:v>45.95796020254173</c:v>
                </c:pt>
                <c:pt idx="1">
                  <c:v>55.55834880441509</c:v>
                </c:pt>
                <c:pt idx="2">
                  <c:v>59.43624815901487</c:v>
                </c:pt>
                <c:pt idx="3">
                  <c:v>58.80912397271614</c:v>
                </c:pt>
              </c:numCache>
            </c:numRef>
          </c:val>
        </c:ser>
        <c:ser>
          <c:idx val="1"/>
          <c:order val="1"/>
          <c:tx>
            <c:strRef>
              <c:f>[1]UDP!$AE$22</c:f>
              <c:strCache>
                <c:ptCount val="1"/>
                <c:pt idx="0">
                  <c:v>Convocar a un Grupo de Expertos </c:v>
                </c:pt>
              </c:strCache>
            </c:strRef>
          </c:tx>
          <c:invertIfNegative val="0"/>
          <c:dLbls>
            <c:numFmt formatCode="#,##0.0" sourceLinked="0"/>
            <c:showLegendKey val="0"/>
            <c:showVal val="1"/>
            <c:showCatName val="0"/>
            <c:showSerName val="0"/>
            <c:showPercent val="0"/>
            <c:showBubbleSize val="0"/>
            <c:showLeaderLines val="0"/>
          </c:dLbls>
          <c:cat>
            <c:strRef>
              <c:f>[1]UDP!$AC$23:$AC$26</c:f>
              <c:strCache>
                <c:ptCount val="4"/>
                <c:pt idx="0">
                  <c:v>
Ed. Básica</c:v>
                </c:pt>
                <c:pt idx="1">
                  <c:v>	Ed. Media</c:v>
                </c:pt>
                <c:pt idx="2">
                  <c:v>_x000c_Técnica Sup.</c:v>
                </c:pt>
                <c:pt idx="3">
                  <c:v>_x000d_Universitaria</c:v>
                </c:pt>
              </c:strCache>
            </c:strRef>
          </c:cat>
          <c:val>
            <c:numRef>
              <c:f>[1]UDP!$AE$23:$AE$26</c:f>
              <c:numCache>
                <c:formatCode>General</c:formatCode>
                <c:ptCount val="4"/>
                <c:pt idx="0">
                  <c:v>37.45872288221829</c:v>
                </c:pt>
                <c:pt idx="1">
                  <c:v>37.39552200951598</c:v>
                </c:pt>
                <c:pt idx="2">
                  <c:v>34.03764742331445</c:v>
                </c:pt>
                <c:pt idx="3">
                  <c:v>39.72202158183065</c:v>
                </c:pt>
              </c:numCache>
            </c:numRef>
          </c:val>
        </c:ser>
        <c:ser>
          <c:idx val="2"/>
          <c:order val="2"/>
          <c:tx>
            <c:strRef>
              <c:f>[1]UDP!$AF$22</c:f>
              <c:strCache>
                <c:ptCount val="1"/>
                <c:pt idx="0">
                  <c:v>No Sabe/No Responde</c:v>
                </c:pt>
              </c:strCache>
            </c:strRef>
          </c:tx>
          <c:invertIfNegative val="0"/>
          <c:dLbls>
            <c:numFmt formatCode="#,##0.0" sourceLinked="0"/>
            <c:showLegendKey val="0"/>
            <c:showVal val="1"/>
            <c:showCatName val="0"/>
            <c:showSerName val="0"/>
            <c:showPercent val="0"/>
            <c:showBubbleSize val="0"/>
            <c:showLeaderLines val="0"/>
          </c:dLbls>
          <c:cat>
            <c:strRef>
              <c:f>[1]UDP!$AC$23:$AC$26</c:f>
              <c:strCache>
                <c:ptCount val="4"/>
                <c:pt idx="0">
                  <c:v>
Ed. Básica</c:v>
                </c:pt>
                <c:pt idx="1">
                  <c:v>	Ed. Media</c:v>
                </c:pt>
                <c:pt idx="2">
                  <c:v>_x000c_Técnica Sup.</c:v>
                </c:pt>
                <c:pt idx="3">
                  <c:v>_x000d_Universitaria</c:v>
                </c:pt>
              </c:strCache>
            </c:strRef>
          </c:cat>
          <c:val>
            <c:numRef>
              <c:f>[1]UDP!$AF$23:$AF$26</c:f>
              <c:numCache>
                <c:formatCode>General</c:formatCode>
                <c:ptCount val="4"/>
                <c:pt idx="0">
                  <c:v>16.58331691523998</c:v>
                </c:pt>
                <c:pt idx="1">
                  <c:v>7.046129186068925</c:v>
                </c:pt>
                <c:pt idx="2">
                  <c:v>6.526104417670683</c:v>
                </c:pt>
                <c:pt idx="3">
                  <c:v>1.468854445453206</c:v>
                </c:pt>
              </c:numCache>
            </c:numRef>
          </c:val>
        </c:ser>
        <c:dLbls>
          <c:showLegendKey val="0"/>
          <c:showVal val="1"/>
          <c:showCatName val="0"/>
          <c:showSerName val="0"/>
          <c:showPercent val="0"/>
          <c:showBubbleSize val="0"/>
        </c:dLbls>
        <c:gapWidth val="75"/>
        <c:axId val="1572625240"/>
        <c:axId val="1572777752"/>
      </c:barChart>
      <c:catAx>
        <c:axId val="1572625240"/>
        <c:scaling>
          <c:orientation val="minMax"/>
        </c:scaling>
        <c:delete val="0"/>
        <c:axPos val="b"/>
        <c:majorTickMark val="none"/>
        <c:minorTickMark val="none"/>
        <c:tickLblPos val="nextTo"/>
        <c:crossAx val="1572777752"/>
        <c:crosses val="autoZero"/>
        <c:auto val="1"/>
        <c:lblAlgn val="ctr"/>
        <c:lblOffset val="100"/>
        <c:noMultiLvlLbl val="0"/>
      </c:catAx>
      <c:valAx>
        <c:axId val="1572777752"/>
        <c:scaling>
          <c:orientation val="minMax"/>
          <c:max val="100.0"/>
        </c:scaling>
        <c:delete val="0"/>
        <c:axPos val="l"/>
        <c:numFmt formatCode="General" sourceLinked="1"/>
        <c:majorTickMark val="none"/>
        <c:minorTickMark val="none"/>
        <c:tickLblPos val="nextTo"/>
        <c:spPr>
          <a:ln w="9525">
            <a:solidFill>
              <a:schemeClr val="tx1"/>
            </a:solidFill>
          </a:ln>
        </c:spPr>
        <c:crossAx val="1572625240"/>
        <c:crosses val="autoZero"/>
        <c:crossBetween val="between"/>
      </c:valAx>
      <c:spPr>
        <a:noFill/>
        <a:ln w="25400">
          <a:noFill/>
        </a:ln>
      </c:spPr>
    </c:plotArea>
    <c:legend>
      <c:legendPos val="b"/>
      <c:layout>
        <c:manualLayout>
          <c:xMode val="edge"/>
          <c:yMode val="edge"/>
          <c:x val="0.121897040097711"/>
          <c:y val="0.867350942834273"/>
          <c:w val="0.771292994316304"/>
          <c:h val="0.0569989389624169"/>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55784693579969"/>
          <c:y val="0.144976476996979"/>
          <c:w val="0.91114110736158"/>
          <c:h val="0.625040608131531"/>
        </c:manualLayout>
      </c:layout>
      <c:barChart>
        <c:barDir val="col"/>
        <c:grouping val="clustered"/>
        <c:varyColors val="0"/>
        <c:ser>
          <c:idx val="0"/>
          <c:order val="0"/>
          <c:tx>
            <c:strRef>
              <c:f>[1]UDP!$G$8</c:f>
              <c:strCache>
                <c:ptCount val="1"/>
                <c:pt idx="0">
                  <c:v>Hacer un Plebiscito</c:v>
                </c:pt>
              </c:strCache>
            </c:strRef>
          </c:tx>
          <c:invertIfNegative val="0"/>
          <c:cat>
            <c:strRef>
              <c:f>[1]UDP!$F$9:$F$12</c:f>
              <c:strCache>
                <c:ptCount val="4"/>
                <c:pt idx="0">
                  <c:v>_x0007_Derecha</c:v>
                </c:pt>
                <c:pt idx="1">
                  <c:v>_x0006_Centro</c:v>
                </c:pt>
                <c:pt idx="2">
                  <c:v>	Izquierda</c:v>
                </c:pt>
                <c:pt idx="3">
                  <c:v>_x0007_Ninguna</c:v>
                </c:pt>
              </c:strCache>
            </c:strRef>
          </c:cat>
          <c:val>
            <c:numRef>
              <c:f>[1]UDP!$G$9:$G$12</c:f>
              <c:numCache>
                <c:formatCode>General</c:formatCode>
                <c:ptCount val="4"/>
                <c:pt idx="0">
                  <c:v>50.6</c:v>
                </c:pt>
                <c:pt idx="1">
                  <c:v>56.2</c:v>
                </c:pt>
                <c:pt idx="2">
                  <c:v>64.6</c:v>
                </c:pt>
                <c:pt idx="3">
                  <c:v>52.4</c:v>
                </c:pt>
              </c:numCache>
            </c:numRef>
          </c:val>
        </c:ser>
        <c:ser>
          <c:idx val="1"/>
          <c:order val="1"/>
          <c:tx>
            <c:strRef>
              <c:f>[1]UDP!$H$8</c:f>
              <c:strCache>
                <c:ptCount val="1"/>
                <c:pt idx="0">
                  <c:v>Convocar a un Grupo de Expertos</c:v>
                </c:pt>
              </c:strCache>
            </c:strRef>
          </c:tx>
          <c:invertIfNegative val="0"/>
          <c:cat>
            <c:strRef>
              <c:f>[1]UDP!$F$9:$F$12</c:f>
              <c:strCache>
                <c:ptCount val="4"/>
                <c:pt idx="0">
                  <c:v>_x0007_Derecha</c:v>
                </c:pt>
                <c:pt idx="1">
                  <c:v>_x0006_Centro</c:v>
                </c:pt>
                <c:pt idx="2">
                  <c:v>	Izquierda</c:v>
                </c:pt>
                <c:pt idx="3">
                  <c:v>_x0007_Ninguna</c:v>
                </c:pt>
              </c:strCache>
            </c:strRef>
          </c:cat>
          <c:val>
            <c:numRef>
              <c:f>[1]UDP!$H$9:$H$12</c:f>
              <c:numCache>
                <c:formatCode>General</c:formatCode>
                <c:ptCount val="4"/>
                <c:pt idx="0">
                  <c:v>47.2</c:v>
                </c:pt>
                <c:pt idx="1">
                  <c:v>38.4</c:v>
                </c:pt>
                <c:pt idx="2">
                  <c:v>29.7</c:v>
                </c:pt>
                <c:pt idx="3">
                  <c:v>37.3</c:v>
                </c:pt>
              </c:numCache>
            </c:numRef>
          </c:val>
        </c:ser>
        <c:ser>
          <c:idx val="2"/>
          <c:order val="2"/>
          <c:tx>
            <c:strRef>
              <c:f>[1]UDP!$I$8</c:f>
              <c:strCache>
                <c:ptCount val="1"/>
                <c:pt idx="0">
                  <c:v>No Sabe/No Responde</c:v>
                </c:pt>
              </c:strCache>
            </c:strRef>
          </c:tx>
          <c:invertIfNegative val="0"/>
          <c:cat>
            <c:strRef>
              <c:f>[1]UDP!$F$9:$F$12</c:f>
              <c:strCache>
                <c:ptCount val="4"/>
                <c:pt idx="0">
                  <c:v>_x0007_Derecha</c:v>
                </c:pt>
                <c:pt idx="1">
                  <c:v>_x0006_Centro</c:v>
                </c:pt>
                <c:pt idx="2">
                  <c:v>	Izquierda</c:v>
                </c:pt>
                <c:pt idx="3">
                  <c:v>_x0007_Ninguna</c:v>
                </c:pt>
              </c:strCache>
            </c:strRef>
          </c:cat>
          <c:val>
            <c:numRef>
              <c:f>[1]UDP!$I$9:$I$12</c:f>
              <c:numCache>
                <c:formatCode>General</c:formatCode>
                <c:ptCount val="4"/>
                <c:pt idx="0">
                  <c:v>2.3</c:v>
                </c:pt>
                <c:pt idx="1">
                  <c:v>5.4</c:v>
                </c:pt>
                <c:pt idx="2">
                  <c:v>5.7</c:v>
                </c:pt>
                <c:pt idx="3">
                  <c:v>10.3</c:v>
                </c:pt>
              </c:numCache>
            </c:numRef>
          </c:val>
        </c:ser>
        <c:dLbls>
          <c:showLegendKey val="0"/>
          <c:showVal val="1"/>
          <c:showCatName val="0"/>
          <c:showSerName val="0"/>
          <c:showPercent val="0"/>
          <c:showBubbleSize val="0"/>
        </c:dLbls>
        <c:gapWidth val="75"/>
        <c:axId val="1572317464"/>
        <c:axId val="1572616376"/>
      </c:barChart>
      <c:catAx>
        <c:axId val="1572317464"/>
        <c:scaling>
          <c:orientation val="minMax"/>
        </c:scaling>
        <c:delete val="0"/>
        <c:axPos val="b"/>
        <c:majorTickMark val="none"/>
        <c:minorTickMark val="none"/>
        <c:tickLblPos val="nextTo"/>
        <c:crossAx val="1572616376"/>
        <c:crosses val="autoZero"/>
        <c:auto val="1"/>
        <c:lblAlgn val="ctr"/>
        <c:lblOffset val="100"/>
        <c:noMultiLvlLbl val="0"/>
      </c:catAx>
      <c:valAx>
        <c:axId val="1572616376"/>
        <c:scaling>
          <c:orientation val="minMax"/>
          <c:max val="100.0"/>
        </c:scaling>
        <c:delete val="0"/>
        <c:axPos val="l"/>
        <c:numFmt formatCode="General" sourceLinked="1"/>
        <c:majorTickMark val="none"/>
        <c:minorTickMark val="none"/>
        <c:tickLblPos val="nextTo"/>
        <c:spPr>
          <a:ln w="9525">
            <a:solidFill>
              <a:schemeClr val="tx1"/>
            </a:solidFill>
          </a:ln>
        </c:spPr>
        <c:crossAx val="1572317464"/>
        <c:crosses val="autoZero"/>
        <c:crossBetween val="between"/>
      </c:valAx>
      <c:spPr>
        <a:noFill/>
        <a:ln w="25400">
          <a:noFill/>
        </a:ln>
      </c:spPr>
    </c:plotArea>
    <c:legend>
      <c:legendPos val="b"/>
      <c:layout>
        <c:manualLayout>
          <c:xMode val="edge"/>
          <c:yMode val="edge"/>
          <c:x val="0.0700887389076366"/>
          <c:y val="0.84250656167979"/>
          <c:w val="0.859822522184727"/>
          <c:h val="0.0568645075025999"/>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4425708202"/>
          <c:y val="0.187309843845277"/>
          <c:w val="0.851880615379699"/>
          <c:h val="0.604734749065458"/>
        </c:manualLayout>
      </c:layout>
      <c:barChart>
        <c:barDir val="col"/>
        <c:grouping val="clustered"/>
        <c:varyColors val="0"/>
        <c:ser>
          <c:idx val="0"/>
          <c:order val="0"/>
          <c:invertIfNegative val="0"/>
          <c:dLbls>
            <c:numFmt formatCode="#,##0.0" sourceLinked="0"/>
            <c:showLegendKey val="0"/>
            <c:showVal val="1"/>
            <c:showCatName val="0"/>
            <c:showSerName val="0"/>
            <c:showPercent val="0"/>
            <c:showBubbleSize val="0"/>
            <c:showLeaderLines val="0"/>
          </c:dLbls>
          <c:cat>
            <c:strRef>
              <c:f>[1]LAPOP!$B$14:$B$18</c:f>
              <c:strCache>
                <c:ptCount val="5"/>
                <c:pt idx="0">
                  <c:v>_x000e_Muy de acuerdo</c:v>
                </c:pt>
                <c:pt idx="1">
                  <c:v>
De acuerdo</c:v>
                </c:pt>
                <c:pt idx="2">
                  <c:v>_x001e_Ni de acuerdo ni en desacuerdo</c:v>
                </c:pt>
                <c:pt idx="3">
                  <c:v>_x000d_En desacuerdo</c:v>
                </c:pt>
                <c:pt idx="4">
                  <c:v>_x0011_Muy en desacuerdo</c:v>
                </c:pt>
              </c:strCache>
            </c:strRef>
          </c:cat>
          <c:val>
            <c:numRef>
              <c:f>[1]LAPOP!$C$14:$C$18</c:f>
              <c:numCache>
                <c:formatCode>General</c:formatCode>
                <c:ptCount val="5"/>
                <c:pt idx="0">
                  <c:v>19.91359805604991</c:v>
                </c:pt>
                <c:pt idx="1">
                  <c:v>50.21340927103502</c:v>
                </c:pt>
                <c:pt idx="2">
                  <c:v>25.94501517711432</c:v>
                </c:pt>
                <c:pt idx="3">
                  <c:v>2.945854626190675</c:v>
                </c:pt>
                <c:pt idx="4">
                  <c:v>0.982122869610076</c:v>
                </c:pt>
              </c:numCache>
            </c:numRef>
          </c:val>
        </c:ser>
        <c:dLbls>
          <c:showLegendKey val="0"/>
          <c:showVal val="1"/>
          <c:showCatName val="0"/>
          <c:showSerName val="0"/>
          <c:showPercent val="0"/>
          <c:showBubbleSize val="0"/>
        </c:dLbls>
        <c:gapWidth val="75"/>
        <c:axId val="1560980184"/>
        <c:axId val="1560414152"/>
      </c:barChart>
      <c:catAx>
        <c:axId val="1560980184"/>
        <c:scaling>
          <c:orientation val="minMax"/>
        </c:scaling>
        <c:delete val="0"/>
        <c:axPos val="b"/>
        <c:majorTickMark val="none"/>
        <c:minorTickMark val="none"/>
        <c:tickLblPos val="nextTo"/>
        <c:crossAx val="1560414152"/>
        <c:crosses val="autoZero"/>
        <c:auto val="1"/>
        <c:lblAlgn val="ctr"/>
        <c:lblOffset val="100"/>
        <c:noMultiLvlLbl val="0"/>
      </c:catAx>
      <c:valAx>
        <c:axId val="1560414152"/>
        <c:scaling>
          <c:orientation val="minMax"/>
          <c:max val="100.0"/>
        </c:scaling>
        <c:delete val="0"/>
        <c:axPos val="l"/>
        <c:numFmt formatCode="General" sourceLinked="1"/>
        <c:majorTickMark val="none"/>
        <c:minorTickMark val="none"/>
        <c:tickLblPos val="nextTo"/>
        <c:crossAx val="1560980184"/>
        <c:crosses val="autoZero"/>
        <c:crossBetween val="between"/>
      </c:valAx>
    </c:plotArea>
    <c:plotVisOnly val="1"/>
    <c:dispBlanksAs val="gap"/>
    <c:showDLblsOverMax val="0"/>
  </c:chart>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5084086711383"/>
          <c:y val="0.166646259682087"/>
          <c:w val="0.842282168432649"/>
          <c:h val="0.574792625249472"/>
        </c:manualLayout>
      </c:layout>
      <c:barChart>
        <c:barDir val="col"/>
        <c:grouping val="clustered"/>
        <c:varyColors val="0"/>
        <c:ser>
          <c:idx val="0"/>
          <c:order val="0"/>
          <c:tx>
            <c:strRef>
              <c:f>[1]LAPOP1!$D$11</c:f>
              <c:strCache>
                <c:ptCount val="1"/>
                <c:pt idx="0">
                  <c:v>Muy de acuerdo</c:v>
                </c:pt>
              </c:strCache>
            </c:strRef>
          </c:tx>
          <c:invertIfNegative val="0"/>
          <c:dLbls>
            <c:numFmt formatCode="#,##0.0" sourceLinked="0"/>
            <c:showLegendKey val="0"/>
            <c:showVal val="1"/>
            <c:showCatName val="0"/>
            <c:showSerName val="0"/>
            <c:showPercent val="0"/>
            <c:showBubbleSize val="0"/>
            <c:showLeaderLines val="0"/>
          </c:dLbls>
          <c:cat>
            <c:strRef>
              <c:f>[1]LAPOP1!$E$10:$F$10</c:f>
              <c:strCache>
                <c:ptCount val="2"/>
                <c:pt idx="0">
                  <c:v>_x000e_Hombre (48.1%)</c:v>
                </c:pt>
                <c:pt idx="1">
                  <c:v>_x000d_Mujer (51.9%)</c:v>
                </c:pt>
              </c:strCache>
            </c:strRef>
          </c:cat>
          <c:val>
            <c:numRef>
              <c:f>[1]LAPOP1!$E$11:$F$11</c:f>
              <c:numCache>
                <c:formatCode>General</c:formatCode>
                <c:ptCount val="2"/>
                <c:pt idx="0">
                  <c:v>22.22222222222222</c:v>
                </c:pt>
                <c:pt idx="1">
                  <c:v>17.77476255088195</c:v>
                </c:pt>
              </c:numCache>
            </c:numRef>
          </c:val>
        </c:ser>
        <c:ser>
          <c:idx val="1"/>
          <c:order val="1"/>
          <c:tx>
            <c:strRef>
              <c:f>[1]LAPOP1!$D$12</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[1]LAPOP1!$E$10:$F$10</c:f>
              <c:strCache>
                <c:ptCount val="2"/>
                <c:pt idx="0">
                  <c:v>_x000e_Hombre (48.1%)</c:v>
                </c:pt>
                <c:pt idx="1">
                  <c:v>_x000d_Mujer (51.9%)</c:v>
                </c:pt>
              </c:strCache>
            </c:strRef>
          </c:cat>
          <c:val>
            <c:numRef>
              <c:f>[1]LAPOP1!$E$12:$F$12</c:f>
              <c:numCache>
                <c:formatCode>General</c:formatCode>
                <c:ptCount val="2"/>
                <c:pt idx="0">
                  <c:v>47.80701754385965</c:v>
                </c:pt>
                <c:pt idx="1">
                  <c:v>52.37449118046133</c:v>
                </c:pt>
              </c:numCache>
            </c:numRef>
          </c:val>
        </c:ser>
        <c:ser>
          <c:idx val="2"/>
          <c:order val="2"/>
          <c:tx>
            <c:strRef>
              <c:f>[1]LAPOP1!$D$13</c:f>
              <c:strCache>
                <c:ptCount val="1"/>
                <c:pt idx="0">
                  <c:v>Ni de acuerdo ni en desacuerdo</c:v>
                </c:pt>
              </c:strCache>
            </c:strRef>
          </c:tx>
          <c:invertIfNegative val="0"/>
          <c:dLbls>
            <c:numFmt formatCode="#,##0.0" sourceLinked="0"/>
            <c:showLegendKey val="0"/>
            <c:showVal val="1"/>
            <c:showCatName val="0"/>
            <c:showSerName val="0"/>
            <c:showPercent val="0"/>
            <c:showBubbleSize val="0"/>
            <c:showLeaderLines val="0"/>
          </c:dLbls>
          <c:cat>
            <c:strRef>
              <c:f>[1]LAPOP1!$E$10:$F$10</c:f>
              <c:strCache>
                <c:ptCount val="2"/>
                <c:pt idx="0">
                  <c:v>_x000e_Hombre (48.1%)</c:v>
                </c:pt>
                <c:pt idx="1">
                  <c:v>_x000d_Mujer (51.9%)</c:v>
                </c:pt>
              </c:strCache>
            </c:strRef>
          </c:cat>
          <c:val>
            <c:numRef>
              <c:f>[1]LAPOP1!$E$13:$F$13</c:f>
              <c:numCache>
                <c:formatCode>General</c:formatCode>
                <c:ptCount val="2"/>
                <c:pt idx="0">
                  <c:v>26.31578947368421</c:v>
                </c:pt>
                <c:pt idx="1">
                  <c:v>25.64450474898236</c:v>
                </c:pt>
              </c:numCache>
            </c:numRef>
          </c:val>
        </c:ser>
        <c:ser>
          <c:idx val="3"/>
          <c:order val="3"/>
          <c:tx>
            <c:strRef>
              <c:f>[1]LAPOP1!$D$14</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[1]LAPOP1!$E$10:$F$10</c:f>
              <c:strCache>
                <c:ptCount val="2"/>
                <c:pt idx="0">
                  <c:v>_x000e_Hombre (48.1%)</c:v>
                </c:pt>
                <c:pt idx="1">
                  <c:v>_x000d_Mujer (51.9%)</c:v>
                </c:pt>
              </c:strCache>
            </c:strRef>
          </c:cat>
          <c:val>
            <c:numRef>
              <c:f>[1]LAPOP1!$E$14:$F$14</c:f>
              <c:numCache>
                <c:formatCode>General</c:formatCode>
                <c:ptCount val="2"/>
                <c:pt idx="0">
                  <c:v>2.485380116959064</c:v>
                </c:pt>
                <c:pt idx="1">
                  <c:v>3.3921302578019</c:v>
                </c:pt>
              </c:numCache>
            </c:numRef>
          </c:val>
        </c:ser>
        <c:ser>
          <c:idx val="4"/>
          <c:order val="4"/>
          <c:tx>
            <c:strRef>
              <c:f>[1]LAPOP1!$D$15</c:f>
              <c:strCache>
                <c:ptCount val="1"/>
                <c:pt idx="0">
                  <c:v>Muy en desacuerdo</c:v>
                </c:pt>
              </c:strCache>
            </c:strRef>
          </c:tx>
          <c:invertIfNegative val="0"/>
          <c:dLbls>
            <c:numFmt formatCode="&quot;$&quot;\ #,##0.0" sourceLinked="0"/>
            <c:showLegendKey val="0"/>
            <c:showVal val="1"/>
            <c:showCatName val="0"/>
            <c:showSerName val="0"/>
            <c:showPercent val="0"/>
            <c:showBubbleSize val="0"/>
            <c:showLeaderLines val="0"/>
          </c:dLbls>
          <c:cat>
            <c:strRef>
              <c:f>[1]LAPOP1!$E$10:$F$10</c:f>
              <c:strCache>
                <c:ptCount val="2"/>
                <c:pt idx="0">
                  <c:v>_x000e_Hombre (48.1%)</c:v>
                </c:pt>
                <c:pt idx="1">
                  <c:v>_x000d_Mujer (51.9%)</c:v>
                </c:pt>
              </c:strCache>
            </c:strRef>
          </c:cat>
          <c:val>
            <c:numRef>
              <c:f>[1]LAPOP1!$E$15:$F$15</c:f>
              <c:numCache>
                <c:formatCode>General</c:formatCode>
                <c:ptCount val="2"/>
                <c:pt idx="0">
                  <c:v>1.169590643274854</c:v>
                </c:pt>
                <c:pt idx="1">
                  <c:v>0.814111261872456</c:v>
                </c:pt>
              </c:numCache>
            </c:numRef>
          </c:val>
        </c:ser>
        <c:dLbls>
          <c:showLegendKey val="0"/>
          <c:showVal val="1"/>
          <c:showCatName val="0"/>
          <c:showSerName val="0"/>
          <c:showPercent val="0"/>
          <c:showBubbleSize val="0"/>
        </c:dLbls>
        <c:gapWidth val="75"/>
        <c:axId val="1560495400"/>
        <c:axId val="1561074536"/>
      </c:barChart>
      <c:catAx>
        <c:axId val="1560495400"/>
        <c:scaling>
          <c:orientation val="minMax"/>
        </c:scaling>
        <c:delete val="0"/>
        <c:axPos val="b"/>
        <c:numFmt formatCode="General" sourceLinked="1"/>
        <c:majorTickMark val="none"/>
        <c:minorTickMark val="none"/>
        <c:tickLblPos val="nextTo"/>
        <c:crossAx val="1561074536"/>
        <c:crosses val="autoZero"/>
        <c:auto val="1"/>
        <c:lblAlgn val="ctr"/>
        <c:lblOffset val="100"/>
        <c:noMultiLvlLbl val="0"/>
      </c:catAx>
      <c:valAx>
        <c:axId val="1561074536"/>
        <c:scaling>
          <c:orientation val="minMax"/>
          <c:max val="100.0"/>
        </c:scaling>
        <c:delete val="0"/>
        <c:axPos val="l"/>
        <c:numFmt formatCode="General" sourceLinked="0"/>
        <c:majorTickMark val="none"/>
        <c:minorTickMark val="none"/>
        <c:tickLblPos val="nextTo"/>
        <c:crossAx val="1560495400"/>
        <c:crosses val="autoZero"/>
        <c:crossBetween val="between"/>
      </c:valAx>
    </c:plotArea>
    <c:legend>
      <c:legendPos val="b"/>
      <c:layout>
        <c:manualLayout>
          <c:xMode val="edge"/>
          <c:yMode val="edge"/>
          <c:x val="0.06440329218107"/>
          <c:y val="0.83347053500953"/>
          <c:w val="0.9"/>
          <c:h val="0.0567307086614173"/>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828863397151498"/>
          <c:y val="0.156391913776735"/>
          <c:w val="0.898501139134258"/>
          <c:h val="0.591340631201588"/>
        </c:manualLayout>
      </c:layout>
      <c:barChart>
        <c:barDir val="col"/>
        <c:grouping val="clustered"/>
        <c:varyColors val="0"/>
        <c:ser>
          <c:idx val="0"/>
          <c:order val="0"/>
          <c:tx>
            <c:strRef>
              <c:f>[1]LAPOP1!$R$11</c:f>
              <c:strCache>
                <c:ptCount val="1"/>
                <c:pt idx="0">
                  <c:v>Muy de acuerdo</c:v>
                </c:pt>
              </c:strCache>
            </c:strRef>
          </c:tx>
          <c:invertIfNegative val="0"/>
          <c:dLbls>
            <c:numFmt formatCode="#,##0.0" sourceLinked="0"/>
            <c:showLegendKey val="0"/>
            <c:showVal val="1"/>
            <c:showCatName val="0"/>
            <c:showSerName val="0"/>
            <c:showPercent val="0"/>
            <c:showBubbleSize val="0"/>
            <c:showLeaderLines val="0"/>
          </c:dLbls>
          <c:cat>
            <c:strRef>
              <c:f>[1]LAPOP1!$S$10:$V$10</c:f>
              <c:strCache>
                <c:ptCount val="4"/>
                <c:pt idx="0">
                  <c:v>_x0014_18 a 29 años (27.3%)</c:v>
                </c:pt>
                <c:pt idx="1">
                  <c:v>_x0014_30 a 45 años (28.6%)</c:v>
                </c:pt>
                <c:pt idx="2">
                  <c:v>_x0014_46 a 60 años (25.2%)</c:v>
                </c:pt>
                <c:pt idx="3">
                  <c:v>_x0015_61 años y más (19.0%)</c:v>
                </c:pt>
              </c:strCache>
            </c:strRef>
          </c:cat>
          <c:val>
            <c:numRef>
              <c:f>[1]LAPOP1!$S$11:$V$11</c:f>
              <c:numCache>
                <c:formatCode>General</c:formatCode>
                <c:ptCount val="4"/>
                <c:pt idx="0">
                  <c:v>18.9119170984456</c:v>
                </c:pt>
                <c:pt idx="1">
                  <c:v>20.54455445544554</c:v>
                </c:pt>
                <c:pt idx="2">
                  <c:v>21.91011235955056</c:v>
                </c:pt>
                <c:pt idx="3">
                  <c:v>16.41791044776119</c:v>
                </c:pt>
              </c:numCache>
            </c:numRef>
          </c:val>
        </c:ser>
        <c:ser>
          <c:idx val="1"/>
          <c:order val="1"/>
          <c:tx>
            <c:strRef>
              <c:f>[1]LAPOP1!$R$12</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[1]LAPOP1!$S$10:$V$10</c:f>
              <c:strCache>
                <c:ptCount val="4"/>
                <c:pt idx="0">
                  <c:v>_x0014_18 a 29 años (27.3%)</c:v>
                </c:pt>
                <c:pt idx="1">
                  <c:v>_x0014_30 a 45 años (28.6%)</c:v>
                </c:pt>
                <c:pt idx="2">
                  <c:v>_x0014_46 a 60 años (25.2%)</c:v>
                </c:pt>
                <c:pt idx="3">
                  <c:v>_x0015_61 años y más (19.0%)</c:v>
                </c:pt>
              </c:strCache>
            </c:strRef>
          </c:cat>
          <c:val>
            <c:numRef>
              <c:f>[1]LAPOP1!$S$12:$V$12</c:f>
              <c:numCache>
                <c:formatCode>General</c:formatCode>
                <c:ptCount val="4"/>
                <c:pt idx="0">
                  <c:v>50.0</c:v>
                </c:pt>
                <c:pt idx="1">
                  <c:v>47.52475247524752</c:v>
                </c:pt>
                <c:pt idx="2">
                  <c:v>49.71910112359551</c:v>
                </c:pt>
                <c:pt idx="3">
                  <c:v>55.59701492537313</c:v>
                </c:pt>
              </c:numCache>
            </c:numRef>
          </c:val>
        </c:ser>
        <c:ser>
          <c:idx val="2"/>
          <c:order val="2"/>
          <c:tx>
            <c:strRef>
              <c:f>[1]LAPOP1!$R$13</c:f>
              <c:strCache>
                <c:ptCount val="1"/>
                <c:pt idx="0">
                  <c:v>Ni de acuerdo ni en desacuerdo</c:v>
                </c:pt>
              </c:strCache>
            </c:strRef>
          </c:tx>
          <c:invertIfNegative val="0"/>
          <c:dLbls>
            <c:numFmt formatCode="#,##0.0" sourceLinked="0"/>
            <c:showLegendKey val="0"/>
            <c:showVal val="1"/>
            <c:showCatName val="0"/>
            <c:showSerName val="0"/>
            <c:showPercent val="0"/>
            <c:showBubbleSize val="0"/>
            <c:showLeaderLines val="0"/>
          </c:dLbls>
          <c:cat>
            <c:strRef>
              <c:f>[1]LAPOP1!$S$10:$V$10</c:f>
              <c:strCache>
                <c:ptCount val="4"/>
                <c:pt idx="0">
                  <c:v>_x0014_18 a 29 años (27.3%)</c:v>
                </c:pt>
                <c:pt idx="1">
                  <c:v>_x0014_30 a 45 años (28.6%)</c:v>
                </c:pt>
                <c:pt idx="2">
                  <c:v>_x0014_46 a 60 años (25.2%)</c:v>
                </c:pt>
                <c:pt idx="3">
                  <c:v>_x0015_61 años y más (19.0%)</c:v>
                </c:pt>
              </c:strCache>
            </c:strRef>
          </c:cat>
          <c:val>
            <c:numRef>
              <c:f>[1]LAPOP1!$S$13:$V$13</c:f>
              <c:numCache>
                <c:formatCode>General</c:formatCode>
                <c:ptCount val="4"/>
                <c:pt idx="0">
                  <c:v>26.6839378238342</c:v>
                </c:pt>
                <c:pt idx="1">
                  <c:v>28.96039603960396</c:v>
                </c:pt>
                <c:pt idx="2">
                  <c:v>23.31460674157303</c:v>
                </c:pt>
                <c:pt idx="3">
                  <c:v>24.25373134328358</c:v>
                </c:pt>
              </c:numCache>
            </c:numRef>
          </c:val>
        </c:ser>
        <c:ser>
          <c:idx val="3"/>
          <c:order val="3"/>
          <c:tx>
            <c:strRef>
              <c:f>[1]LAPOP1!$R$14</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[1]LAPOP1!$S$10:$V$10</c:f>
              <c:strCache>
                <c:ptCount val="4"/>
                <c:pt idx="0">
                  <c:v>_x0014_18 a 29 años (27.3%)</c:v>
                </c:pt>
                <c:pt idx="1">
                  <c:v>_x0014_30 a 45 años (28.6%)</c:v>
                </c:pt>
                <c:pt idx="2">
                  <c:v>_x0014_46 a 60 años (25.2%)</c:v>
                </c:pt>
                <c:pt idx="3">
                  <c:v>_x0015_61 años y más (19.0%)</c:v>
                </c:pt>
              </c:strCache>
            </c:strRef>
          </c:cat>
          <c:val>
            <c:numRef>
              <c:f>[1]LAPOP1!$S$14:$V$14</c:f>
              <c:numCache>
                <c:formatCode>General</c:formatCode>
                <c:ptCount val="4"/>
                <c:pt idx="0">
                  <c:v>3.8860103626943</c:v>
                </c:pt>
                <c:pt idx="1">
                  <c:v>1.732673267326733</c:v>
                </c:pt>
                <c:pt idx="2">
                  <c:v>3.370786516853932</c:v>
                </c:pt>
                <c:pt idx="3">
                  <c:v>3.358208955223881</c:v>
                </c:pt>
              </c:numCache>
            </c:numRef>
          </c:val>
        </c:ser>
        <c:ser>
          <c:idx val="4"/>
          <c:order val="4"/>
          <c:tx>
            <c:strRef>
              <c:f>[1]LAPOP1!$R$15</c:f>
              <c:strCache>
                <c:ptCount val="1"/>
                <c:pt idx="0">
                  <c:v>Muy en desacuerdo</c:v>
                </c:pt>
              </c:strCache>
            </c:strRef>
          </c:tx>
          <c:invertIfNegative val="0"/>
          <c:dLbls>
            <c:numFmt formatCode="#,##0.0" sourceLinked="0"/>
            <c:showLegendKey val="0"/>
            <c:showVal val="1"/>
            <c:showCatName val="0"/>
            <c:showSerName val="0"/>
            <c:showPercent val="0"/>
            <c:showBubbleSize val="0"/>
            <c:showLeaderLines val="0"/>
          </c:dLbls>
          <c:cat>
            <c:strRef>
              <c:f>[1]LAPOP1!$S$10:$V$10</c:f>
              <c:strCache>
                <c:ptCount val="4"/>
                <c:pt idx="0">
                  <c:v>_x0014_18 a 29 años (27.3%)</c:v>
                </c:pt>
                <c:pt idx="1">
                  <c:v>_x0014_30 a 45 años (28.6%)</c:v>
                </c:pt>
                <c:pt idx="2">
                  <c:v>_x0014_46 a 60 años (25.2%)</c:v>
                </c:pt>
                <c:pt idx="3">
                  <c:v>_x0015_61 años y más (19.0%)</c:v>
                </c:pt>
              </c:strCache>
            </c:strRef>
          </c:cat>
          <c:val>
            <c:numRef>
              <c:f>[1]LAPOP1!$S$15:$V$15</c:f>
              <c:numCache>
                <c:formatCode>General</c:formatCode>
                <c:ptCount val="4"/>
                <c:pt idx="0">
                  <c:v>0.518134715025907</c:v>
                </c:pt>
                <c:pt idx="1">
                  <c:v>1.237623762376238</c:v>
                </c:pt>
                <c:pt idx="2">
                  <c:v>1.685393258426966</c:v>
                </c:pt>
                <c:pt idx="3">
                  <c:v>0.373134328358209</c:v>
                </c:pt>
              </c:numCache>
            </c:numRef>
          </c:val>
        </c:ser>
        <c:dLbls>
          <c:showLegendKey val="0"/>
          <c:showVal val="1"/>
          <c:showCatName val="0"/>
          <c:showSerName val="0"/>
          <c:showPercent val="0"/>
          <c:showBubbleSize val="0"/>
        </c:dLbls>
        <c:gapWidth val="75"/>
        <c:axId val="1567853368"/>
        <c:axId val="1500024280"/>
      </c:barChart>
      <c:catAx>
        <c:axId val="1567853368"/>
        <c:scaling>
          <c:orientation val="minMax"/>
        </c:scaling>
        <c:delete val="0"/>
        <c:axPos val="b"/>
        <c:majorTickMark val="none"/>
        <c:minorTickMark val="none"/>
        <c:tickLblPos val="nextTo"/>
        <c:crossAx val="1500024280"/>
        <c:crosses val="autoZero"/>
        <c:auto val="1"/>
        <c:lblAlgn val="ctr"/>
        <c:lblOffset val="100"/>
        <c:noMultiLvlLbl val="0"/>
      </c:catAx>
      <c:valAx>
        <c:axId val="1500024280"/>
        <c:scaling>
          <c:orientation val="minMax"/>
          <c:max val="100.0"/>
        </c:scaling>
        <c:delete val="0"/>
        <c:axPos val="l"/>
        <c:numFmt formatCode="General" sourceLinked="1"/>
        <c:majorTickMark val="none"/>
        <c:minorTickMark val="none"/>
        <c:tickLblPos val="nextTo"/>
        <c:crossAx val="1567853368"/>
        <c:crosses val="autoZero"/>
        <c:crossBetween val="between"/>
      </c:valAx>
    </c:plotArea>
    <c:legend>
      <c:legendPos val="b"/>
      <c:layout>
        <c:manualLayout>
          <c:xMode val="edge"/>
          <c:yMode val="edge"/>
          <c:x val="0.0530223696657207"/>
          <c:y val="0.840380769476986"/>
          <c:w val="0.887186937927176"/>
          <c:h val="0.0565975379838084"/>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1756028718316"/>
          <c:y val="0.159143079659053"/>
          <c:w val="0.879277636525875"/>
          <c:h val="0.56251834429279"/>
        </c:manualLayout>
      </c:layout>
      <c:barChart>
        <c:barDir val="col"/>
        <c:grouping val="clustered"/>
        <c:varyColors val="0"/>
        <c:ser>
          <c:idx val="0"/>
          <c:order val="0"/>
          <c:tx>
            <c:strRef>
              <c:f>[1]LAPOP1!$CM$11</c:f>
              <c:strCache>
                <c:ptCount val="1"/>
                <c:pt idx="0">
                  <c:v>Muy de acuerdo</c:v>
                </c:pt>
              </c:strCache>
            </c:strRef>
          </c:tx>
          <c:invertIfNegative val="0"/>
          <c:dLbls>
            <c:numFmt formatCode="#,##0.0" sourceLinked="0"/>
            <c:showLegendKey val="0"/>
            <c:showVal val="1"/>
            <c:showCatName val="0"/>
            <c:showSerName val="0"/>
            <c:showPercent val="0"/>
            <c:showBubbleSize val="0"/>
            <c:showLeaderLines val="0"/>
          </c:dLbls>
          <c:cat>
            <c:strRef>
              <c:f>[1]LAPOP1!$CN$10:$CQ$10</c:f>
              <c:strCache>
                <c:ptCount val="4"/>
                <c:pt idx="0">
                  <c:v>_x000e_Básica (23.5%)</c:v>
                </c:pt>
                <c:pt idx="1">
                  <c:v>_x000d_Media (47.6%)</c:v>
                </c:pt>
                <c:pt idx="2">
                  <c:v>_x0014_Técnico Sup. (20.5%)</c:v>
                </c:pt>
                <c:pt idx="3">
                  <c:v>_x0014_Universitaria (8.4%)</c:v>
                </c:pt>
              </c:strCache>
            </c:strRef>
          </c:cat>
          <c:val>
            <c:numRef>
              <c:f>[1]LAPOP1!$CN$11:$CQ$11</c:f>
              <c:numCache>
                <c:formatCode>General</c:formatCode>
                <c:ptCount val="4"/>
                <c:pt idx="0">
                  <c:v>14.71471471471471</c:v>
                </c:pt>
                <c:pt idx="1">
                  <c:v>18.37037037037037</c:v>
                </c:pt>
                <c:pt idx="2">
                  <c:v>25.21008403361344</c:v>
                </c:pt>
                <c:pt idx="3">
                  <c:v>27.93103448275862</c:v>
                </c:pt>
              </c:numCache>
            </c:numRef>
          </c:val>
        </c:ser>
        <c:ser>
          <c:idx val="1"/>
          <c:order val="1"/>
          <c:tx>
            <c:strRef>
              <c:f>[1]LAPOP1!$CM$12</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[1]LAPOP1!$CN$10:$CQ$10</c:f>
              <c:strCache>
                <c:ptCount val="4"/>
                <c:pt idx="0">
                  <c:v>_x000e_Básica (23.5%)</c:v>
                </c:pt>
                <c:pt idx="1">
                  <c:v>_x000d_Media (47.6%)</c:v>
                </c:pt>
                <c:pt idx="2">
                  <c:v>_x0014_Técnico Sup. (20.5%)</c:v>
                </c:pt>
                <c:pt idx="3">
                  <c:v>_x0014_Universitaria (8.4%)</c:v>
                </c:pt>
              </c:strCache>
            </c:strRef>
          </c:cat>
          <c:val>
            <c:numRef>
              <c:f>[1]LAPOP1!$CN$12:$CQ$12</c:f>
              <c:numCache>
                <c:formatCode>General</c:formatCode>
                <c:ptCount val="4"/>
                <c:pt idx="0">
                  <c:v>50.75075075075075</c:v>
                </c:pt>
                <c:pt idx="1">
                  <c:v>48.74074074074074</c:v>
                </c:pt>
                <c:pt idx="2">
                  <c:v>53.78151260504202</c:v>
                </c:pt>
                <c:pt idx="3">
                  <c:v>51.03448275862069</c:v>
                </c:pt>
              </c:numCache>
            </c:numRef>
          </c:val>
        </c:ser>
        <c:ser>
          <c:idx val="2"/>
          <c:order val="2"/>
          <c:tx>
            <c:strRef>
              <c:f>[1]LAPOP1!$CM$13</c:f>
              <c:strCache>
                <c:ptCount val="1"/>
                <c:pt idx="0">
                  <c:v>Ni de acuerdo ni en desacuerdo</c:v>
                </c:pt>
              </c:strCache>
            </c:strRef>
          </c:tx>
          <c:invertIfNegative val="0"/>
          <c:dLbls>
            <c:numFmt formatCode="#,##0.0" sourceLinked="0"/>
            <c:showLegendKey val="0"/>
            <c:showVal val="1"/>
            <c:showCatName val="0"/>
            <c:showSerName val="0"/>
            <c:showPercent val="0"/>
            <c:showBubbleSize val="0"/>
            <c:showLeaderLines val="0"/>
          </c:dLbls>
          <c:cat>
            <c:strRef>
              <c:f>[1]LAPOP1!$CN$10:$CQ$10</c:f>
              <c:strCache>
                <c:ptCount val="4"/>
                <c:pt idx="0">
                  <c:v>_x000e_Básica (23.5%)</c:v>
                </c:pt>
                <c:pt idx="1">
                  <c:v>_x000d_Media (47.6%)</c:v>
                </c:pt>
                <c:pt idx="2">
                  <c:v>_x0014_Técnico Sup. (20.5%)</c:v>
                </c:pt>
                <c:pt idx="3">
                  <c:v>_x0014_Universitaria (8.4%)</c:v>
                </c:pt>
              </c:strCache>
            </c:strRef>
          </c:cat>
          <c:val>
            <c:numRef>
              <c:f>[1]LAPOP1!$CN$13:$CQ$13</c:f>
              <c:numCache>
                <c:formatCode>General</c:formatCode>
                <c:ptCount val="4"/>
                <c:pt idx="0">
                  <c:v>31.53153153153153</c:v>
                </c:pt>
                <c:pt idx="1">
                  <c:v>27.85185185185185</c:v>
                </c:pt>
                <c:pt idx="2">
                  <c:v>17.64705882352941</c:v>
                </c:pt>
                <c:pt idx="3">
                  <c:v>18.27586206896552</c:v>
                </c:pt>
              </c:numCache>
            </c:numRef>
          </c:val>
        </c:ser>
        <c:ser>
          <c:idx val="3"/>
          <c:order val="3"/>
          <c:tx>
            <c:strRef>
              <c:f>[1]LAPOP1!$CM$14</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[1]LAPOP1!$CN$10:$CQ$10</c:f>
              <c:strCache>
                <c:ptCount val="4"/>
                <c:pt idx="0">
                  <c:v>_x000e_Básica (23.5%)</c:v>
                </c:pt>
                <c:pt idx="1">
                  <c:v>_x000d_Media (47.6%)</c:v>
                </c:pt>
                <c:pt idx="2">
                  <c:v>_x0014_Técnico Sup. (20.5%)</c:v>
                </c:pt>
                <c:pt idx="3">
                  <c:v>_x0014_Universitaria (8.4%)</c:v>
                </c:pt>
              </c:strCache>
            </c:strRef>
          </c:cat>
          <c:val>
            <c:numRef>
              <c:f>[1]LAPOP1!$CN$14:$CQ$14</c:f>
              <c:numCache>
                <c:formatCode>General</c:formatCode>
                <c:ptCount val="4"/>
                <c:pt idx="0">
                  <c:v>2.702702702702702</c:v>
                </c:pt>
                <c:pt idx="1">
                  <c:v>3.703703703703703</c:v>
                </c:pt>
                <c:pt idx="2">
                  <c:v>3.361344537815126</c:v>
                </c:pt>
                <c:pt idx="3">
                  <c:v>1.379310344827586</c:v>
                </c:pt>
              </c:numCache>
            </c:numRef>
          </c:val>
        </c:ser>
        <c:ser>
          <c:idx val="4"/>
          <c:order val="4"/>
          <c:tx>
            <c:strRef>
              <c:f>[1]LAPOP1!$CM$15</c:f>
              <c:strCache>
                <c:ptCount val="1"/>
                <c:pt idx="0">
                  <c:v>Muy en desacuerdo</c:v>
                </c:pt>
              </c:strCache>
            </c:strRef>
          </c:tx>
          <c:invertIfNegative val="0"/>
          <c:dLbls>
            <c:numFmt formatCode="#,##0.0" sourceLinked="0"/>
            <c:showLegendKey val="0"/>
            <c:showVal val="1"/>
            <c:showCatName val="0"/>
            <c:showSerName val="0"/>
            <c:showPercent val="0"/>
            <c:showBubbleSize val="0"/>
            <c:showLeaderLines val="0"/>
          </c:dLbls>
          <c:cat>
            <c:strRef>
              <c:f>[1]LAPOP1!$CN$10:$CQ$10</c:f>
              <c:strCache>
                <c:ptCount val="4"/>
                <c:pt idx="0">
                  <c:v>_x000e_Básica (23.5%)</c:v>
                </c:pt>
                <c:pt idx="1">
                  <c:v>_x000d_Media (47.6%)</c:v>
                </c:pt>
                <c:pt idx="2">
                  <c:v>_x0014_Técnico Sup. (20.5%)</c:v>
                </c:pt>
                <c:pt idx="3">
                  <c:v>_x0014_Universitaria (8.4%)</c:v>
                </c:pt>
              </c:strCache>
            </c:strRef>
          </c:cat>
          <c:val>
            <c:numRef>
              <c:f>[1]LAPOP1!$CN$15:$CQ$15</c:f>
              <c:numCache>
                <c:formatCode>General</c:formatCode>
                <c:ptCount val="4"/>
                <c:pt idx="0">
                  <c:v>0.3003003003003</c:v>
                </c:pt>
                <c:pt idx="1">
                  <c:v>1.333333333333333</c:v>
                </c:pt>
                <c:pt idx="2">
                  <c:v>0.0</c:v>
                </c:pt>
                <c:pt idx="3">
                  <c:v>1.379310344827586</c:v>
                </c:pt>
              </c:numCache>
            </c:numRef>
          </c:val>
        </c:ser>
        <c:dLbls>
          <c:showLegendKey val="0"/>
          <c:showVal val="1"/>
          <c:showCatName val="0"/>
          <c:showSerName val="0"/>
          <c:showPercent val="0"/>
          <c:showBubbleSize val="0"/>
        </c:dLbls>
        <c:gapWidth val="75"/>
        <c:axId val="1560600632"/>
        <c:axId val="1560582632"/>
      </c:barChart>
      <c:catAx>
        <c:axId val="1560600632"/>
        <c:scaling>
          <c:orientation val="minMax"/>
        </c:scaling>
        <c:delete val="0"/>
        <c:axPos val="b"/>
        <c:majorTickMark val="none"/>
        <c:minorTickMark val="none"/>
        <c:tickLblPos val="nextTo"/>
        <c:crossAx val="1560582632"/>
        <c:crosses val="autoZero"/>
        <c:auto val="1"/>
        <c:lblAlgn val="ctr"/>
        <c:lblOffset val="100"/>
        <c:noMultiLvlLbl val="0"/>
      </c:catAx>
      <c:valAx>
        <c:axId val="1560582632"/>
        <c:scaling>
          <c:orientation val="minMax"/>
          <c:max val="100.0"/>
        </c:scaling>
        <c:delete val="0"/>
        <c:axPos val="l"/>
        <c:numFmt formatCode="General" sourceLinked="0"/>
        <c:majorTickMark val="none"/>
        <c:minorTickMark val="none"/>
        <c:tickLblPos val="nextTo"/>
        <c:crossAx val="1560600632"/>
        <c:crosses val="autoZero"/>
        <c:crossBetween val="between"/>
      </c:valAx>
    </c:plotArea>
    <c:legend>
      <c:legendPos val="b"/>
      <c:layout>
        <c:manualLayout>
          <c:xMode val="edge"/>
          <c:yMode val="edge"/>
          <c:x val="0.0784495394690173"/>
          <c:y val="0.815668306204853"/>
          <c:w val="0.899999925329391"/>
          <c:h val="0.0625435913469015"/>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5130608673916"/>
          <c:y val="0.141613818498786"/>
          <c:w val="0.873043994500688"/>
          <c:h val="0.56915444887607"/>
        </c:manualLayout>
      </c:layout>
      <c:barChart>
        <c:barDir val="col"/>
        <c:grouping val="clustered"/>
        <c:varyColors val="0"/>
        <c:ser>
          <c:idx val="0"/>
          <c:order val="0"/>
          <c:tx>
            <c:strRef>
              <c:f>[1]LAPOP2!$C$35</c:f>
              <c:strCache>
                <c:ptCount val="1"/>
                <c:pt idx="0">
                  <c:v>Muy de acuerdo</c:v>
                </c:pt>
              </c:strCache>
            </c:strRef>
          </c:tx>
          <c:invertIfNegative val="0"/>
          <c:dLbls>
            <c:numFmt formatCode="#,##0.0" sourceLinked="0"/>
            <c:showLegendKey val="0"/>
            <c:showVal val="1"/>
            <c:showCatName val="0"/>
            <c:showSerName val="0"/>
            <c:showPercent val="0"/>
            <c:showBubbleSize val="0"/>
            <c:showLeaderLines val="0"/>
          </c:dLbls>
          <c:cat>
            <c:strRef>
              <c:f>[1]LAPOP2!$D$34:$F$34</c:f>
              <c:strCache>
                <c:ptCount val="3"/>
                <c:pt idx="0">
                  <c:v>_x0011_Izquierda (22.0%)</c:v>
                </c:pt>
                <c:pt idx="1">
                  <c:v>_x000e_Centro (63.8%)</c:v>
                </c:pt>
                <c:pt idx="2">
                  <c:v>_x000f_Derecha (14.1%)</c:v>
                </c:pt>
              </c:strCache>
            </c:strRef>
          </c:cat>
          <c:val>
            <c:numRef>
              <c:f>[1]LAPOP2!$D$35:$F$35</c:f>
              <c:numCache>
                <c:formatCode>General</c:formatCode>
                <c:ptCount val="3"/>
                <c:pt idx="0">
                  <c:v>28.09917355371901</c:v>
                </c:pt>
                <c:pt idx="1">
                  <c:v>18.25962910128388</c:v>
                </c:pt>
                <c:pt idx="2">
                  <c:v>23.87096774193548</c:v>
                </c:pt>
              </c:numCache>
            </c:numRef>
          </c:val>
        </c:ser>
        <c:ser>
          <c:idx val="1"/>
          <c:order val="1"/>
          <c:tx>
            <c:strRef>
              <c:f>[1]LAPOP2!$C$36</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[1]LAPOP2!$D$34:$F$34</c:f>
              <c:strCache>
                <c:ptCount val="3"/>
                <c:pt idx="0">
                  <c:v>_x0011_Izquierda (22.0%)</c:v>
                </c:pt>
                <c:pt idx="1">
                  <c:v>_x000e_Centro (63.8%)</c:v>
                </c:pt>
                <c:pt idx="2">
                  <c:v>_x000f_Derecha (14.1%)</c:v>
                </c:pt>
              </c:strCache>
            </c:strRef>
          </c:cat>
          <c:val>
            <c:numRef>
              <c:f>[1]LAPOP2!$D$36:$F$36</c:f>
              <c:numCache>
                <c:formatCode>General</c:formatCode>
                <c:ptCount val="3"/>
                <c:pt idx="0">
                  <c:v>49.58677685950413</c:v>
                </c:pt>
                <c:pt idx="1">
                  <c:v>50.641940085592</c:v>
                </c:pt>
                <c:pt idx="2">
                  <c:v>42.58064516129032</c:v>
                </c:pt>
              </c:numCache>
            </c:numRef>
          </c:val>
        </c:ser>
        <c:ser>
          <c:idx val="2"/>
          <c:order val="2"/>
          <c:tx>
            <c:strRef>
              <c:f>[1]LAPOP2!$C$37</c:f>
              <c:strCache>
                <c:ptCount val="1"/>
                <c:pt idx="0">
                  <c:v>Ni de acuerdo ni en desacuerdo</c:v>
                </c:pt>
              </c:strCache>
            </c:strRef>
          </c:tx>
          <c:invertIfNegative val="0"/>
          <c:dLbls>
            <c:numFmt formatCode="#,##0.0" sourceLinked="0"/>
            <c:showLegendKey val="0"/>
            <c:showVal val="1"/>
            <c:showCatName val="0"/>
            <c:showSerName val="0"/>
            <c:showPercent val="0"/>
            <c:showBubbleSize val="0"/>
            <c:showLeaderLines val="0"/>
          </c:dLbls>
          <c:cat>
            <c:strRef>
              <c:f>[1]LAPOP2!$D$34:$F$34</c:f>
              <c:strCache>
                <c:ptCount val="3"/>
                <c:pt idx="0">
                  <c:v>_x0011_Izquierda (22.0%)</c:v>
                </c:pt>
                <c:pt idx="1">
                  <c:v>_x000e_Centro (63.8%)</c:v>
                </c:pt>
                <c:pt idx="2">
                  <c:v>_x000f_Derecha (14.1%)</c:v>
                </c:pt>
              </c:strCache>
            </c:strRef>
          </c:cat>
          <c:val>
            <c:numRef>
              <c:f>[1]LAPOP2!$D$37:$F$37</c:f>
              <c:numCache>
                <c:formatCode>General</c:formatCode>
                <c:ptCount val="3"/>
                <c:pt idx="0">
                  <c:v>19.42148760330578</c:v>
                </c:pt>
                <c:pt idx="1">
                  <c:v>27.5320970042796</c:v>
                </c:pt>
                <c:pt idx="2">
                  <c:v>29.03225806451613</c:v>
                </c:pt>
              </c:numCache>
            </c:numRef>
          </c:val>
        </c:ser>
        <c:ser>
          <c:idx val="3"/>
          <c:order val="3"/>
          <c:tx>
            <c:strRef>
              <c:f>[1]LAPOP2!$C$38</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[1]LAPOP2!$D$34:$F$34</c:f>
              <c:strCache>
                <c:ptCount val="3"/>
                <c:pt idx="0">
                  <c:v>_x0011_Izquierda (22.0%)</c:v>
                </c:pt>
                <c:pt idx="1">
                  <c:v>_x000e_Centro (63.8%)</c:v>
                </c:pt>
                <c:pt idx="2">
                  <c:v>_x000f_Derecha (14.1%)</c:v>
                </c:pt>
              </c:strCache>
            </c:strRef>
          </c:cat>
          <c:val>
            <c:numRef>
              <c:f>[1]LAPOP2!$D$38:$F$38</c:f>
              <c:numCache>
                <c:formatCode>General</c:formatCode>
                <c:ptCount val="3"/>
                <c:pt idx="0">
                  <c:v>2.479338842975207</c:v>
                </c:pt>
                <c:pt idx="1">
                  <c:v>3.138373751783167</c:v>
                </c:pt>
                <c:pt idx="2">
                  <c:v>1.935483870967742</c:v>
                </c:pt>
              </c:numCache>
            </c:numRef>
          </c:val>
        </c:ser>
        <c:ser>
          <c:idx val="4"/>
          <c:order val="4"/>
          <c:tx>
            <c:strRef>
              <c:f>[1]LAPOP2!$C$39</c:f>
              <c:strCache>
                <c:ptCount val="1"/>
                <c:pt idx="0">
                  <c:v>Muy en desacuerdo</c:v>
                </c:pt>
              </c:strCache>
            </c:strRef>
          </c:tx>
          <c:invertIfNegative val="0"/>
          <c:dLbls>
            <c:numFmt formatCode="#,##0.0" sourceLinked="0"/>
            <c:showLegendKey val="0"/>
            <c:showVal val="1"/>
            <c:showCatName val="0"/>
            <c:showSerName val="0"/>
            <c:showPercent val="0"/>
            <c:showBubbleSize val="0"/>
            <c:showLeaderLines val="0"/>
          </c:dLbls>
          <c:cat>
            <c:strRef>
              <c:f>[1]LAPOP2!$D$34:$F$34</c:f>
              <c:strCache>
                <c:ptCount val="3"/>
                <c:pt idx="0">
                  <c:v>_x0011_Izquierda (22.0%)</c:v>
                </c:pt>
                <c:pt idx="1">
                  <c:v>_x000e_Centro (63.8%)</c:v>
                </c:pt>
                <c:pt idx="2">
                  <c:v>_x000f_Derecha (14.1%)</c:v>
                </c:pt>
              </c:strCache>
            </c:strRef>
          </c:cat>
          <c:val>
            <c:numRef>
              <c:f>[1]LAPOP2!$D$39:$F$39</c:f>
              <c:numCache>
                <c:formatCode>General</c:formatCode>
                <c:ptCount val="3"/>
                <c:pt idx="0">
                  <c:v>0.413223140495868</c:v>
                </c:pt>
                <c:pt idx="1">
                  <c:v>0.427960057061341</c:v>
                </c:pt>
                <c:pt idx="2">
                  <c:v>2.580645161290322</c:v>
                </c:pt>
              </c:numCache>
            </c:numRef>
          </c:val>
        </c:ser>
        <c:dLbls>
          <c:showLegendKey val="0"/>
          <c:showVal val="1"/>
          <c:showCatName val="0"/>
          <c:showSerName val="0"/>
          <c:showPercent val="0"/>
          <c:showBubbleSize val="0"/>
        </c:dLbls>
        <c:gapWidth val="75"/>
        <c:axId val="1560285928"/>
        <c:axId val="1560474984"/>
      </c:barChart>
      <c:catAx>
        <c:axId val="1560285928"/>
        <c:scaling>
          <c:orientation val="minMax"/>
        </c:scaling>
        <c:delete val="0"/>
        <c:axPos val="b"/>
        <c:majorTickMark val="none"/>
        <c:minorTickMark val="none"/>
        <c:tickLblPos val="nextTo"/>
        <c:crossAx val="1560474984"/>
        <c:crosses val="autoZero"/>
        <c:auto val="1"/>
        <c:lblAlgn val="ctr"/>
        <c:lblOffset val="100"/>
        <c:noMultiLvlLbl val="0"/>
      </c:catAx>
      <c:valAx>
        <c:axId val="1560474984"/>
        <c:scaling>
          <c:orientation val="minMax"/>
          <c:max val="100.0"/>
        </c:scaling>
        <c:delete val="0"/>
        <c:axPos val="l"/>
        <c:numFmt formatCode="General" sourceLinked="1"/>
        <c:majorTickMark val="none"/>
        <c:minorTickMark val="none"/>
        <c:tickLblPos val="nextTo"/>
        <c:crossAx val="1560285928"/>
        <c:crosses val="autoZero"/>
        <c:crossBetween val="between"/>
      </c:valAx>
    </c:plotArea>
    <c:legend>
      <c:legendPos val="b"/>
      <c:layout>
        <c:manualLayout>
          <c:xMode val="edge"/>
          <c:yMode val="edge"/>
          <c:x val="0.053968253968254"/>
          <c:y val="0.801625144583741"/>
          <c:w val="0.9"/>
          <c:h val="0.0595322097061768"/>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975338627865204"/>
          <c:y val="0.139324705064408"/>
          <c:w val="0.881423573846669"/>
          <c:h val="0.615646862324028"/>
        </c:manualLayout>
      </c:layout>
      <c:barChart>
        <c:barDir val="col"/>
        <c:grouping val="clustered"/>
        <c:varyColors val="0"/>
        <c:ser>
          <c:idx val="0"/>
          <c:order val="0"/>
          <c:tx>
            <c:strRef>
              <c:f>[1]LAPOP4!$AN$25</c:f>
              <c:strCache>
                <c:ptCount val="1"/>
                <c:pt idx="0">
                  <c:v>Muy de acuerdo</c:v>
                </c:pt>
              </c:strCache>
            </c:strRef>
          </c:tx>
          <c:invertIfNegative val="0"/>
          <c:dLbls>
            <c:numFmt formatCode="#,##0.0" sourceLinked="0"/>
            <c:showLegendKey val="0"/>
            <c:showVal val="1"/>
            <c:showCatName val="0"/>
            <c:showSerName val="0"/>
            <c:showPercent val="0"/>
            <c:showBubbleSize val="0"/>
            <c:showLeaderLines val="0"/>
          </c:dLbls>
          <c:cat>
            <c:strRef>
              <c:f>[1]LAPOP4!$AO$24:$AP$24</c:f>
              <c:strCache>
                <c:ptCount val="2"/>
                <c:pt idx="0">
                  <c:v>&amp;Insatisfecho con la Democracia (48.8%)</c:v>
                </c:pt>
                <c:pt idx="1">
                  <c:v>$Satisfecho con la Democracia (51.2%)</c:v>
                </c:pt>
              </c:strCache>
            </c:strRef>
          </c:cat>
          <c:val>
            <c:numRef>
              <c:f>[1]LAPOP4!$AO$25:$AP$25</c:f>
              <c:numCache>
                <c:formatCode>General</c:formatCode>
                <c:ptCount val="2"/>
                <c:pt idx="0">
                  <c:v>16.24203821656051</c:v>
                </c:pt>
                <c:pt idx="1">
                  <c:v>23.03030303030303</c:v>
                </c:pt>
              </c:numCache>
            </c:numRef>
          </c:val>
        </c:ser>
        <c:ser>
          <c:idx val="1"/>
          <c:order val="1"/>
          <c:tx>
            <c:strRef>
              <c:f>[1]LAPOP4!$AN$26</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[1]LAPOP4!$AO$24:$AP$24</c:f>
              <c:strCache>
                <c:ptCount val="2"/>
                <c:pt idx="0">
                  <c:v>&amp;Insatisfecho con la Democracia (48.8%)</c:v>
                </c:pt>
                <c:pt idx="1">
                  <c:v>$Satisfecho con la Democracia (51.2%)</c:v>
                </c:pt>
              </c:strCache>
            </c:strRef>
          </c:cat>
          <c:val>
            <c:numRef>
              <c:f>[1]LAPOP4!$AO$26:$AP$26</c:f>
              <c:numCache>
                <c:formatCode>General</c:formatCode>
                <c:ptCount val="2"/>
                <c:pt idx="0">
                  <c:v>53.82165605095541</c:v>
                </c:pt>
                <c:pt idx="1">
                  <c:v>45.45454545454545</c:v>
                </c:pt>
              </c:numCache>
            </c:numRef>
          </c:val>
        </c:ser>
        <c:ser>
          <c:idx val="2"/>
          <c:order val="2"/>
          <c:tx>
            <c:strRef>
              <c:f>[1]LAPOP4!$AN$27</c:f>
              <c:strCache>
                <c:ptCount val="1"/>
                <c:pt idx="0">
                  <c:v>Ni de acuerdo ni en desacuerdo</c:v>
                </c:pt>
              </c:strCache>
            </c:strRef>
          </c:tx>
          <c:invertIfNegative val="0"/>
          <c:dLbls>
            <c:numFmt formatCode="#,##0.0" sourceLinked="0"/>
            <c:showLegendKey val="0"/>
            <c:showVal val="1"/>
            <c:showCatName val="0"/>
            <c:showSerName val="0"/>
            <c:showPercent val="0"/>
            <c:showBubbleSize val="0"/>
            <c:showLeaderLines val="0"/>
          </c:dLbls>
          <c:cat>
            <c:strRef>
              <c:f>[1]LAPOP4!$AO$24:$AP$24</c:f>
              <c:strCache>
                <c:ptCount val="2"/>
                <c:pt idx="0">
                  <c:v>&amp;Insatisfecho con la Democracia (48.8%)</c:v>
                </c:pt>
                <c:pt idx="1">
                  <c:v>$Satisfecho con la Democracia (51.2%)</c:v>
                </c:pt>
              </c:strCache>
            </c:strRef>
          </c:cat>
          <c:val>
            <c:numRef>
              <c:f>[1]LAPOP4!$AO$27:$AP$27</c:f>
              <c:numCache>
                <c:formatCode>General</c:formatCode>
                <c:ptCount val="2"/>
                <c:pt idx="0">
                  <c:v>26.7515923566879</c:v>
                </c:pt>
                <c:pt idx="1">
                  <c:v>26.36363636363636</c:v>
                </c:pt>
              </c:numCache>
            </c:numRef>
          </c:val>
        </c:ser>
        <c:ser>
          <c:idx val="3"/>
          <c:order val="3"/>
          <c:tx>
            <c:strRef>
              <c:f>[1]LAPOP4!$AN$28</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[1]LAPOP4!$AO$24:$AP$24</c:f>
              <c:strCache>
                <c:ptCount val="2"/>
                <c:pt idx="0">
                  <c:v>&amp;Insatisfecho con la Democracia (48.8%)</c:v>
                </c:pt>
                <c:pt idx="1">
                  <c:v>$Satisfecho con la Democracia (51.2%)</c:v>
                </c:pt>
              </c:strCache>
            </c:strRef>
          </c:cat>
          <c:val>
            <c:numRef>
              <c:f>[1]LAPOP4!$AO$28:$AP$28</c:f>
              <c:numCache>
                <c:formatCode>General</c:formatCode>
                <c:ptCount val="2"/>
                <c:pt idx="0">
                  <c:v>2.547770700636942</c:v>
                </c:pt>
                <c:pt idx="1">
                  <c:v>4.242424242424243</c:v>
                </c:pt>
              </c:numCache>
            </c:numRef>
          </c:val>
        </c:ser>
        <c:ser>
          <c:idx val="4"/>
          <c:order val="4"/>
          <c:tx>
            <c:strRef>
              <c:f>[1]LAPOP4!$AN$29</c:f>
              <c:strCache>
                <c:ptCount val="1"/>
                <c:pt idx="0">
                  <c:v>Muy en desacuerdo</c:v>
                </c:pt>
              </c:strCache>
            </c:strRef>
          </c:tx>
          <c:invertIfNegative val="0"/>
          <c:dLbls>
            <c:numFmt formatCode="#,##0.0" sourceLinked="0"/>
            <c:showLegendKey val="0"/>
            <c:showVal val="1"/>
            <c:showCatName val="0"/>
            <c:showSerName val="0"/>
            <c:showPercent val="0"/>
            <c:showBubbleSize val="0"/>
            <c:showLeaderLines val="0"/>
          </c:dLbls>
          <c:cat>
            <c:strRef>
              <c:f>[1]LAPOP4!$AO$24:$AP$24</c:f>
              <c:strCache>
                <c:ptCount val="2"/>
                <c:pt idx="0">
                  <c:v>&amp;Insatisfecho con la Democracia (48.8%)</c:v>
                </c:pt>
                <c:pt idx="1">
                  <c:v>$Satisfecho con la Democracia (51.2%)</c:v>
                </c:pt>
              </c:strCache>
            </c:strRef>
          </c:cat>
          <c:val>
            <c:numRef>
              <c:f>[1]LAPOP4!$AO$29:$AP$29</c:f>
              <c:numCache>
                <c:formatCode>General</c:formatCode>
                <c:ptCount val="2"/>
                <c:pt idx="0">
                  <c:v>0.636942675159236</c:v>
                </c:pt>
                <c:pt idx="1">
                  <c:v>0.909090909090909</c:v>
                </c:pt>
              </c:numCache>
            </c:numRef>
          </c:val>
        </c:ser>
        <c:dLbls>
          <c:showLegendKey val="0"/>
          <c:showVal val="1"/>
          <c:showCatName val="0"/>
          <c:showSerName val="0"/>
          <c:showPercent val="0"/>
          <c:showBubbleSize val="0"/>
        </c:dLbls>
        <c:gapWidth val="75"/>
        <c:axId val="1500124696"/>
        <c:axId val="1500127416"/>
      </c:barChart>
      <c:catAx>
        <c:axId val="1500124696"/>
        <c:scaling>
          <c:orientation val="minMax"/>
        </c:scaling>
        <c:delete val="0"/>
        <c:axPos val="b"/>
        <c:majorTickMark val="none"/>
        <c:minorTickMark val="none"/>
        <c:tickLblPos val="nextTo"/>
        <c:crossAx val="1500127416"/>
        <c:crosses val="autoZero"/>
        <c:auto val="1"/>
        <c:lblAlgn val="ctr"/>
        <c:lblOffset val="100"/>
        <c:noMultiLvlLbl val="0"/>
      </c:catAx>
      <c:valAx>
        <c:axId val="1500127416"/>
        <c:scaling>
          <c:orientation val="minMax"/>
          <c:max val="100.0"/>
        </c:scaling>
        <c:delete val="0"/>
        <c:axPos val="l"/>
        <c:numFmt formatCode="General" sourceLinked="1"/>
        <c:majorTickMark val="none"/>
        <c:minorTickMark val="none"/>
        <c:tickLblPos val="nextTo"/>
        <c:crossAx val="1500124696"/>
        <c:crosses val="autoZero"/>
        <c:crossBetween val="between"/>
      </c:valAx>
    </c:plotArea>
    <c:legend>
      <c:legendPos val="b"/>
      <c:layout>
        <c:manualLayout>
          <c:xMode val="edge"/>
          <c:yMode val="edge"/>
          <c:x val="0.0672166050979639"/>
          <c:y val="0.857845090792222"/>
          <c:w val="0.899999924686602"/>
          <c:h val="0.061506508115057"/>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6965844804326"/>
          <c:y val="0.151515888345676"/>
          <c:w val="0.864879846430113"/>
          <c:h val="0.606796814884271"/>
        </c:manualLayout>
      </c:layout>
      <c:barChart>
        <c:barDir val="col"/>
        <c:grouping val="clustered"/>
        <c:varyColors val="0"/>
        <c:ser>
          <c:idx val="0"/>
          <c:order val="0"/>
          <c:tx>
            <c:strRef>
              <c:f>[1]LAPOP2!$BA$35</c:f>
              <c:strCache>
                <c:ptCount val="1"/>
                <c:pt idx="0">
                  <c:v>Muy de acuerdo</c:v>
                </c:pt>
              </c:strCache>
            </c:strRef>
          </c:tx>
          <c:invertIfNegative val="0"/>
          <c:dLbls>
            <c:numFmt formatCode="#,##0.0" sourceLinked="0"/>
            <c:showLegendKey val="0"/>
            <c:showVal val="1"/>
            <c:showCatName val="0"/>
            <c:showSerName val="0"/>
            <c:showPercent val="0"/>
            <c:showBubbleSize val="0"/>
            <c:showLeaderLines val="0"/>
          </c:dLbls>
          <c:cat>
            <c:strRef>
              <c:f>[1]LAPOP2!$BB$34:$BD$34</c:f>
              <c:strCache>
                <c:ptCount val="3"/>
                <c:pt idx="0">
                  <c:v>_x0014_Poco Respeto (20.1%)</c:v>
                </c:pt>
                <c:pt idx="1">
                  <c:v>_x0015_Respeto Medio (23.4%)</c:v>
                </c:pt>
                <c:pt idx="2">
                  <c:v>_x0015_Mucho Respeto (56.5%)</c:v>
                </c:pt>
              </c:strCache>
            </c:strRef>
          </c:cat>
          <c:val>
            <c:numRef>
              <c:f>[1]LAPOP2!$BB$35:$BD$35</c:f>
              <c:numCache>
                <c:formatCode>General</c:formatCode>
                <c:ptCount val="3"/>
                <c:pt idx="0">
                  <c:v>26.59574468085106</c:v>
                </c:pt>
                <c:pt idx="1">
                  <c:v>12.19512195121951</c:v>
                </c:pt>
                <c:pt idx="2">
                  <c:v>20.98609355246523</c:v>
                </c:pt>
              </c:numCache>
            </c:numRef>
          </c:val>
        </c:ser>
        <c:ser>
          <c:idx val="1"/>
          <c:order val="1"/>
          <c:tx>
            <c:strRef>
              <c:f>[1]LAPOP2!$BA$36</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[1]LAPOP2!$BB$34:$BD$34</c:f>
              <c:strCache>
                <c:ptCount val="3"/>
                <c:pt idx="0">
                  <c:v>_x0014_Poco Respeto (20.1%)</c:v>
                </c:pt>
                <c:pt idx="1">
                  <c:v>_x0015_Respeto Medio (23.4%)</c:v>
                </c:pt>
                <c:pt idx="2">
                  <c:v>_x0015_Mucho Respeto (56.5%)</c:v>
                </c:pt>
              </c:strCache>
            </c:strRef>
          </c:cat>
          <c:val>
            <c:numRef>
              <c:f>[1]LAPOP2!$BB$36:$BD$36</c:f>
              <c:numCache>
                <c:formatCode>General</c:formatCode>
                <c:ptCount val="3"/>
                <c:pt idx="0">
                  <c:v>45.39007092198581</c:v>
                </c:pt>
                <c:pt idx="1">
                  <c:v>52.13414634146341</c:v>
                </c:pt>
                <c:pt idx="2">
                  <c:v>51.5802781289507</c:v>
                </c:pt>
              </c:numCache>
            </c:numRef>
          </c:val>
        </c:ser>
        <c:ser>
          <c:idx val="2"/>
          <c:order val="2"/>
          <c:tx>
            <c:strRef>
              <c:f>[1]LAPOP2!$BA$37</c:f>
              <c:strCache>
                <c:ptCount val="1"/>
                <c:pt idx="0">
                  <c:v>Ni de acuerdo ni en desacuerdo</c:v>
                </c:pt>
              </c:strCache>
            </c:strRef>
          </c:tx>
          <c:invertIfNegative val="0"/>
          <c:dLbls>
            <c:numFmt formatCode="#,##0.0" sourceLinked="0"/>
            <c:showLegendKey val="0"/>
            <c:showVal val="1"/>
            <c:showCatName val="0"/>
            <c:showSerName val="0"/>
            <c:showPercent val="0"/>
            <c:showBubbleSize val="0"/>
            <c:showLeaderLines val="0"/>
          </c:dLbls>
          <c:cat>
            <c:strRef>
              <c:f>[1]LAPOP2!$BB$34:$BD$34</c:f>
              <c:strCache>
                <c:ptCount val="3"/>
                <c:pt idx="0">
                  <c:v>_x0014_Poco Respeto (20.1%)</c:v>
                </c:pt>
                <c:pt idx="1">
                  <c:v>_x0015_Respeto Medio (23.4%)</c:v>
                </c:pt>
                <c:pt idx="2">
                  <c:v>_x0015_Mucho Respeto (56.5%)</c:v>
                </c:pt>
              </c:strCache>
            </c:strRef>
          </c:cat>
          <c:val>
            <c:numRef>
              <c:f>[1]LAPOP2!$BB$37:$BD$37</c:f>
              <c:numCache>
                <c:formatCode>General</c:formatCode>
                <c:ptCount val="3"/>
                <c:pt idx="0">
                  <c:v>22.34042553191489</c:v>
                </c:pt>
                <c:pt idx="1">
                  <c:v>31.70731707317073</c:v>
                </c:pt>
                <c:pt idx="2">
                  <c:v>24.27307206068268</c:v>
                </c:pt>
              </c:numCache>
            </c:numRef>
          </c:val>
        </c:ser>
        <c:ser>
          <c:idx val="3"/>
          <c:order val="3"/>
          <c:tx>
            <c:strRef>
              <c:f>[1]LAPOP2!$BA$38</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[1]LAPOP2!$BB$34:$BD$34</c:f>
              <c:strCache>
                <c:ptCount val="3"/>
                <c:pt idx="0">
                  <c:v>_x0014_Poco Respeto (20.1%)</c:v>
                </c:pt>
                <c:pt idx="1">
                  <c:v>_x0015_Respeto Medio (23.4%)</c:v>
                </c:pt>
                <c:pt idx="2">
                  <c:v>_x0015_Mucho Respeto (56.5%)</c:v>
                </c:pt>
              </c:strCache>
            </c:strRef>
          </c:cat>
          <c:val>
            <c:numRef>
              <c:f>[1]LAPOP2!$BB$38:$BD$38</c:f>
              <c:numCache>
                <c:formatCode>General</c:formatCode>
                <c:ptCount val="3"/>
                <c:pt idx="0">
                  <c:v>3.546099290780142</c:v>
                </c:pt>
                <c:pt idx="1">
                  <c:v>3.353658536585366</c:v>
                </c:pt>
                <c:pt idx="2">
                  <c:v>2.402022756005057</c:v>
                </c:pt>
              </c:numCache>
            </c:numRef>
          </c:val>
        </c:ser>
        <c:ser>
          <c:idx val="4"/>
          <c:order val="4"/>
          <c:tx>
            <c:strRef>
              <c:f>[1]LAPOP2!$BA$39</c:f>
              <c:strCache>
                <c:ptCount val="1"/>
                <c:pt idx="0">
                  <c:v>Muy en desacuerdo</c:v>
                </c:pt>
              </c:strCache>
            </c:strRef>
          </c:tx>
          <c:invertIfNegative val="0"/>
          <c:dLbls>
            <c:numFmt formatCode="#,##0.0" sourceLinked="0"/>
            <c:showLegendKey val="0"/>
            <c:showVal val="1"/>
            <c:showCatName val="0"/>
            <c:showSerName val="0"/>
            <c:showPercent val="0"/>
            <c:showBubbleSize val="0"/>
            <c:showLeaderLines val="0"/>
          </c:dLbls>
          <c:cat>
            <c:strRef>
              <c:f>[1]LAPOP2!$BB$34:$BD$34</c:f>
              <c:strCache>
                <c:ptCount val="3"/>
                <c:pt idx="0">
                  <c:v>_x0014_Poco Respeto (20.1%)</c:v>
                </c:pt>
                <c:pt idx="1">
                  <c:v>_x0015_Respeto Medio (23.4%)</c:v>
                </c:pt>
                <c:pt idx="2">
                  <c:v>_x0015_Mucho Respeto (56.5%)</c:v>
                </c:pt>
              </c:strCache>
            </c:strRef>
          </c:cat>
          <c:val>
            <c:numRef>
              <c:f>[1]LAPOP2!$BB$39:$BD$39</c:f>
              <c:numCache>
                <c:formatCode>General</c:formatCode>
                <c:ptCount val="3"/>
                <c:pt idx="0">
                  <c:v>2.127659574468085</c:v>
                </c:pt>
                <c:pt idx="1">
                  <c:v>0.609756097560976</c:v>
                </c:pt>
                <c:pt idx="2">
                  <c:v>0.758533501896334</c:v>
                </c:pt>
              </c:numCache>
            </c:numRef>
          </c:val>
        </c:ser>
        <c:dLbls>
          <c:showLegendKey val="0"/>
          <c:showVal val="1"/>
          <c:showCatName val="0"/>
          <c:showSerName val="0"/>
          <c:showPercent val="0"/>
          <c:showBubbleSize val="0"/>
        </c:dLbls>
        <c:gapWidth val="75"/>
        <c:axId val="1560435736"/>
        <c:axId val="1560438648"/>
      </c:barChart>
      <c:catAx>
        <c:axId val="1560435736"/>
        <c:scaling>
          <c:orientation val="minMax"/>
        </c:scaling>
        <c:delete val="0"/>
        <c:axPos val="b"/>
        <c:majorTickMark val="none"/>
        <c:minorTickMark val="none"/>
        <c:tickLblPos val="nextTo"/>
        <c:crossAx val="1560438648"/>
        <c:crosses val="autoZero"/>
        <c:auto val="1"/>
        <c:lblAlgn val="ctr"/>
        <c:lblOffset val="100"/>
        <c:noMultiLvlLbl val="0"/>
      </c:catAx>
      <c:valAx>
        <c:axId val="1560438648"/>
        <c:scaling>
          <c:orientation val="minMax"/>
          <c:max val="100.0"/>
        </c:scaling>
        <c:delete val="0"/>
        <c:axPos val="l"/>
        <c:numFmt formatCode="General" sourceLinked="1"/>
        <c:majorTickMark val="none"/>
        <c:minorTickMark val="none"/>
        <c:tickLblPos val="nextTo"/>
        <c:crossAx val="1560435736"/>
        <c:crosses val="autoZero"/>
        <c:crossBetween val="between"/>
      </c:valAx>
    </c:plotArea>
    <c:legend>
      <c:legendPos val="b"/>
      <c:layout>
        <c:manualLayout>
          <c:xMode val="edge"/>
          <c:yMode val="edge"/>
          <c:x val="0.0802571336268306"/>
          <c:y val="0.845330453983851"/>
          <c:w val="0.899999936467861"/>
          <c:h val="0.0581677732709846"/>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5189708429303"/>
          <c:y val="0.156636075662956"/>
          <c:w val="0.87485564304462"/>
          <c:h val="0.622261803481461"/>
        </c:manualLayout>
      </c:layout>
      <c:barChart>
        <c:barDir val="col"/>
        <c:grouping val="clustered"/>
        <c:varyColors val="0"/>
        <c:ser>
          <c:idx val="0"/>
          <c:order val="0"/>
          <c:tx>
            <c:strRef>
              <c:f>[1]LAPOP2!$BM$35</c:f>
              <c:strCache>
                <c:ptCount val="1"/>
                <c:pt idx="0">
                  <c:v>Muy de acuerdo</c:v>
                </c:pt>
              </c:strCache>
            </c:strRef>
          </c:tx>
          <c:invertIfNegative val="0"/>
          <c:dLbls>
            <c:numFmt formatCode="#,##0.0" sourceLinked="0"/>
            <c:showLegendKey val="0"/>
            <c:showVal val="1"/>
            <c:showCatName val="0"/>
            <c:showSerName val="0"/>
            <c:showPercent val="0"/>
            <c:showBubbleSize val="0"/>
            <c:showLeaderLines val="0"/>
          </c:dLbls>
          <c:cat>
            <c:strRef>
              <c:f>[1]LAPOP2!$BN$34:$BP$34</c:f>
              <c:strCache>
                <c:ptCount val="3"/>
                <c:pt idx="0">
                  <c:v>_x0012_Bajo Apoyo (23.7%)</c:v>
                </c:pt>
                <c:pt idx="1">
                  <c:v>_x0013_Apoyo Medio (25.7%)</c:v>
                </c:pt>
                <c:pt idx="2">
                  <c:v>_x0012_Alto Apoyo (50.6%)</c:v>
                </c:pt>
              </c:strCache>
            </c:strRef>
          </c:cat>
          <c:val>
            <c:numRef>
              <c:f>[1]LAPOP2!$BN$35:$BP$35</c:f>
              <c:numCache>
                <c:formatCode>General</c:formatCode>
                <c:ptCount val="3"/>
                <c:pt idx="0">
                  <c:v>26.50602409638554</c:v>
                </c:pt>
                <c:pt idx="1">
                  <c:v>20.61281337047354</c:v>
                </c:pt>
                <c:pt idx="2">
                  <c:v>17.11456859971711</c:v>
                </c:pt>
              </c:numCache>
            </c:numRef>
          </c:val>
        </c:ser>
        <c:ser>
          <c:idx val="1"/>
          <c:order val="1"/>
          <c:tx>
            <c:strRef>
              <c:f>[1]LAPOP2!$BM$36</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[1]LAPOP2!$BN$34:$BP$34</c:f>
              <c:strCache>
                <c:ptCount val="3"/>
                <c:pt idx="0">
                  <c:v>_x0012_Bajo Apoyo (23.7%)</c:v>
                </c:pt>
                <c:pt idx="1">
                  <c:v>_x0013_Apoyo Medio (25.7%)</c:v>
                </c:pt>
                <c:pt idx="2">
                  <c:v>_x0012_Alto Apoyo (50.6%)</c:v>
                </c:pt>
              </c:strCache>
            </c:strRef>
          </c:cat>
          <c:val>
            <c:numRef>
              <c:f>[1]LAPOP2!$BN$36:$BP$36</c:f>
              <c:numCache>
                <c:formatCode>General</c:formatCode>
                <c:ptCount val="3"/>
                <c:pt idx="0">
                  <c:v>41.26506024096385</c:v>
                </c:pt>
                <c:pt idx="1">
                  <c:v>50.41782729805014</c:v>
                </c:pt>
                <c:pt idx="2">
                  <c:v>54.73833097595473</c:v>
                </c:pt>
              </c:numCache>
            </c:numRef>
          </c:val>
        </c:ser>
        <c:ser>
          <c:idx val="2"/>
          <c:order val="2"/>
          <c:tx>
            <c:strRef>
              <c:f>[1]LAPOP2!$BM$37</c:f>
              <c:strCache>
                <c:ptCount val="1"/>
                <c:pt idx="0">
                  <c:v>Ni de acuerdo ni en desacuerdo</c:v>
                </c:pt>
              </c:strCache>
            </c:strRef>
          </c:tx>
          <c:invertIfNegative val="0"/>
          <c:dLbls>
            <c:numFmt formatCode="#,##0.0" sourceLinked="0"/>
            <c:showLegendKey val="0"/>
            <c:showVal val="1"/>
            <c:showCatName val="0"/>
            <c:showSerName val="0"/>
            <c:showPercent val="0"/>
            <c:showBubbleSize val="0"/>
            <c:showLeaderLines val="0"/>
          </c:dLbls>
          <c:cat>
            <c:strRef>
              <c:f>[1]LAPOP2!$BN$34:$BP$34</c:f>
              <c:strCache>
                <c:ptCount val="3"/>
                <c:pt idx="0">
                  <c:v>_x0012_Bajo Apoyo (23.7%)</c:v>
                </c:pt>
                <c:pt idx="1">
                  <c:v>_x0013_Apoyo Medio (25.7%)</c:v>
                </c:pt>
                <c:pt idx="2">
                  <c:v>_x0012_Alto Apoyo (50.6%)</c:v>
                </c:pt>
              </c:strCache>
            </c:strRef>
          </c:cat>
          <c:val>
            <c:numRef>
              <c:f>[1]LAPOP2!$BN$37:$BP$37</c:f>
              <c:numCache>
                <c:formatCode>General</c:formatCode>
                <c:ptCount val="3"/>
                <c:pt idx="0">
                  <c:v>25.90361445783132</c:v>
                </c:pt>
                <c:pt idx="1">
                  <c:v>25.62674094707521</c:v>
                </c:pt>
                <c:pt idx="2">
                  <c:v>25.03536067892503</c:v>
                </c:pt>
              </c:numCache>
            </c:numRef>
          </c:val>
        </c:ser>
        <c:ser>
          <c:idx val="3"/>
          <c:order val="3"/>
          <c:tx>
            <c:strRef>
              <c:f>[1]LAPOP2!$BM$38</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[1]LAPOP2!$BN$34:$BP$34</c:f>
              <c:strCache>
                <c:ptCount val="3"/>
                <c:pt idx="0">
                  <c:v>_x0012_Bajo Apoyo (23.7%)</c:v>
                </c:pt>
                <c:pt idx="1">
                  <c:v>_x0013_Apoyo Medio (25.7%)</c:v>
                </c:pt>
                <c:pt idx="2">
                  <c:v>_x0012_Alto Apoyo (50.6%)</c:v>
                </c:pt>
              </c:strCache>
            </c:strRef>
          </c:cat>
          <c:val>
            <c:numRef>
              <c:f>[1]LAPOP2!$BN$38:$BP$38</c:f>
              <c:numCache>
                <c:formatCode>General</c:formatCode>
                <c:ptCount val="3"/>
                <c:pt idx="0">
                  <c:v>4.518072289156626</c:v>
                </c:pt>
                <c:pt idx="1">
                  <c:v>2.785515320334262</c:v>
                </c:pt>
                <c:pt idx="2">
                  <c:v>2.121640735502122</c:v>
                </c:pt>
              </c:numCache>
            </c:numRef>
          </c:val>
        </c:ser>
        <c:ser>
          <c:idx val="4"/>
          <c:order val="4"/>
          <c:tx>
            <c:strRef>
              <c:f>[1]LAPOP2!$BM$39</c:f>
              <c:strCache>
                <c:ptCount val="1"/>
                <c:pt idx="0">
                  <c:v>Muy en desacuerdo</c:v>
                </c:pt>
              </c:strCache>
            </c:strRef>
          </c:tx>
          <c:invertIfNegative val="0"/>
          <c:dLbls>
            <c:numFmt formatCode="#,##0.0" sourceLinked="0"/>
            <c:showLegendKey val="0"/>
            <c:showVal val="1"/>
            <c:showCatName val="0"/>
            <c:showSerName val="0"/>
            <c:showPercent val="0"/>
            <c:showBubbleSize val="0"/>
            <c:showLeaderLines val="0"/>
          </c:dLbls>
          <c:cat>
            <c:strRef>
              <c:f>[1]LAPOP2!$BN$34:$BP$34</c:f>
              <c:strCache>
                <c:ptCount val="3"/>
                <c:pt idx="0">
                  <c:v>_x0012_Bajo Apoyo (23.7%)</c:v>
                </c:pt>
                <c:pt idx="1">
                  <c:v>_x0013_Apoyo Medio (25.7%)</c:v>
                </c:pt>
                <c:pt idx="2">
                  <c:v>_x0012_Alto Apoyo (50.6%)</c:v>
                </c:pt>
              </c:strCache>
            </c:strRef>
          </c:cat>
          <c:val>
            <c:numRef>
              <c:f>[1]LAPOP2!$BN$39:$BP$39</c:f>
              <c:numCache>
                <c:formatCode>General</c:formatCode>
                <c:ptCount val="3"/>
                <c:pt idx="0">
                  <c:v>1.80722891566265</c:v>
                </c:pt>
                <c:pt idx="1">
                  <c:v>0.557103064066852</c:v>
                </c:pt>
                <c:pt idx="2">
                  <c:v>0.99009900990099</c:v>
                </c:pt>
              </c:numCache>
            </c:numRef>
          </c:val>
        </c:ser>
        <c:dLbls>
          <c:showLegendKey val="0"/>
          <c:showVal val="1"/>
          <c:showCatName val="0"/>
          <c:showSerName val="0"/>
          <c:showPercent val="0"/>
          <c:showBubbleSize val="0"/>
        </c:dLbls>
        <c:gapWidth val="75"/>
        <c:axId val="1561249928"/>
        <c:axId val="1568336920"/>
      </c:barChart>
      <c:catAx>
        <c:axId val="1561249928"/>
        <c:scaling>
          <c:orientation val="minMax"/>
        </c:scaling>
        <c:delete val="0"/>
        <c:axPos val="b"/>
        <c:majorTickMark val="none"/>
        <c:minorTickMark val="none"/>
        <c:tickLblPos val="nextTo"/>
        <c:crossAx val="1568336920"/>
        <c:crosses val="autoZero"/>
        <c:auto val="1"/>
        <c:lblAlgn val="ctr"/>
        <c:lblOffset val="100"/>
        <c:noMultiLvlLbl val="0"/>
      </c:catAx>
      <c:valAx>
        <c:axId val="1568336920"/>
        <c:scaling>
          <c:orientation val="minMax"/>
          <c:max val="100.0"/>
        </c:scaling>
        <c:delete val="0"/>
        <c:axPos val="l"/>
        <c:numFmt formatCode="General" sourceLinked="1"/>
        <c:majorTickMark val="none"/>
        <c:minorTickMark val="none"/>
        <c:tickLblPos val="nextTo"/>
        <c:crossAx val="1561249928"/>
        <c:crosses val="autoZero"/>
        <c:crossBetween val="between"/>
      </c:valAx>
    </c:plotArea>
    <c:legend>
      <c:legendPos val="b"/>
      <c:layout>
        <c:manualLayout>
          <c:xMode val="edge"/>
          <c:yMode val="edge"/>
          <c:x val="0.0663265663220669"/>
          <c:y val="0.846489154372945"/>
          <c:w val="0.899999928580356"/>
          <c:h val="0.0554265544393158"/>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930800645966685"/>
          <c:y val="0.146805159993299"/>
          <c:w val="0.887596263905747"/>
          <c:h val="0.611998258282231"/>
        </c:manualLayout>
      </c:layout>
      <c:barChart>
        <c:barDir val="col"/>
        <c:grouping val="clustered"/>
        <c:varyColors val="0"/>
        <c:ser>
          <c:idx val="0"/>
          <c:order val="0"/>
          <c:tx>
            <c:strRef>
              <c:f>[1]LAPOP2!$BY$36</c:f>
              <c:strCache>
                <c:ptCount val="1"/>
                <c:pt idx="0">
                  <c:v>Muy de acuerdo</c:v>
                </c:pt>
              </c:strCache>
            </c:strRef>
          </c:tx>
          <c:invertIfNegative val="0"/>
          <c:dLbls>
            <c:numFmt formatCode="#,##0.0" sourceLinked="0"/>
            <c:showLegendKey val="0"/>
            <c:showVal val="1"/>
            <c:showCatName val="0"/>
            <c:showSerName val="0"/>
            <c:showPercent val="0"/>
            <c:showBubbleSize val="0"/>
            <c:showLeaderLines val="0"/>
          </c:dLbls>
          <c:cat>
            <c:strRef>
              <c:f>[1]LAPOP2!$BZ$35:$CC$35</c:f>
              <c:strCache>
                <c:ptCount val="4"/>
                <c:pt idx="0">
                  <c:v>_x000c_Nada (34.8%)</c:v>
                </c:pt>
                <c:pt idx="1">
                  <c:v>_x000c_Poco (36.6%)</c:v>
                </c:pt>
                <c:pt idx="2">
                  <c:v>_x000c_Algo (24.1%)</c:v>
                </c:pt>
                <c:pt idx="3">
                  <c:v>_x000c_Mucho (4.5%)</c:v>
                </c:pt>
              </c:strCache>
            </c:strRef>
          </c:cat>
          <c:val>
            <c:numRef>
              <c:f>[1]LAPOP2!$BZ$36:$CC$36</c:f>
              <c:numCache>
                <c:formatCode>General</c:formatCode>
                <c:ptCount val="4"/>
                <c:pt idx="0">
                  <c:v>15.16393442622951</c:v>
                </c:pt>
                <c:pt idx="1">
                  <c:v>18.28793774319066</c:v>
                </c:pt>
                <c:pt idx="2">
                  <c:v>23.59882005899705</c:v>
                </c:pt>
                <c:pt idx="3">
                  <c:v>50.7936507936508</c:v>
                </c:pt>
              </c:numCache>
            </c:numRef>
          </c:val>
        </c:ser>
        <c:ser>
          <c:idx val="1"/>
          <c:order val="1"/>
          <c:tx>
            <c:strRef>
              <c:f>[1]LAPOP2!$BY$37</c:f>
              <c:strCache>
                <c:ptCount val="1"/>
                <c:pt idx="0">
                  <c:v>De acuerdo</c:v>
                </c:pt>
              </c:strCache>
            </c:strRef>
          </c:tx>
          <c:invertIfNegative val="0"/>
          <c:dLbls>
            <c:dLbl>
              <c:idx val="0"/>
              <c:numFmt formatCode="#,##0.0" sourceLinked="0"/>
              <c:spPr/>
              <c:txPr>
                <a:bodyPr/>
                <a:lstStyle/>
                <a:p>
                  <a:pPr>
                    <a:defRPr/>
                  </a:pPr>
                  <a:endParaRPr lang="es-ES"/>
                </a:p>
              </c:txPr>
              <c:showLegendKey val="0"/>
              <c:showVal val="1"/>
              <c:showCatName val="0"/>
              <c:showSerName val="0"/>
              <c:showPercent val="0"/>
              <c:showBubbleSize val="0"/>
            </c:dLbl>
            <c:numFmt formatCode="#,##0.00" sourceLinked="0"/>
            <c:showLegendKey val="0"/>
            <c:showVal val="1"/>
            <c:showCatName val="0"/>
            <c:showSerName val="0"/>
            <c:showPercent val="0"/>
            <c:showBubbleSize val="0"/>
            <c:showLeaderLines val="0"/>
          </c:dLbls>
          <c:cat>
            <c:strRef>
              <c:f>[1]LAPOP2!$BZ$35:$CC$35</c:f>
              <c:strCache>
                <c:ptCount val="4"/>
                <c:pt idx="0">
                  <c:v>_x000c_Nada (34.8%)</c:v>
                </c:pt>
                <c:pt idx="1">
                  <c:v>_x000c_Poco (36.6%)</c:v>
                </c:pt>
                <c:pt idx="2">
                  <c:v>_x000c_Algo (24.1%)</c:v>
                </c:pt>
                <c:pt idx="3">
                  <c:v>_x000c_Mucho (4.5%)</c:v>
                </c:pt>
              </c:strCache>
            </c:strRef>
          </c:cat>
          <c:val>
            <c:numRef>
              <c:f>[1]LAPOP2!$BZ$37:$CC$37</c:f>
              <c:numCache>
                <c:formatCode>General</c:formatCode>
                <c:ptCount val="4"/>
                <c:pt idx="0">
                  <c:v>47.74590163934426</c:v>
                </c:pt>
                <c:pt idx="1">
                  <c:v>54.86381322957198</c:v>
                </c:pt>
                <c:pt idx="2">
                  <c:v>51.62241887905604</c:v>
                </c:pt>
                <c:pt idx="3">
                  <c:v>26.98412698412698</c:v>
                </c:pt>
              </c:numCache>
            </c:numRef>
          </c:val>
        </c:ser>
        <c:ser>
          <c:idx val="2"/>
          <c:order val="2"/>
          <c:tx>
            <c:strRef>
              <c:f>[1]LAPOP2!$BY$38</c:f>
              <c:strCache>
                <c:ptCount val="1"/>
                <c:pt idx="0">
                  <c:v>Ni de acuerdo ni en desacuerdo</c:v>
                </c:pt>
              </c:strCache>
            </c:strRef>
          </c:tx>
          <c:invertIfNegative val="0"/>
          <c:dLbls>
            <c:numFmt formatCode="#,##0.0" sourceLinked="0"/>
            <c:showLegendKey val="0"/>
            <c:showVal val="1"/>
            <c:showCatName val="0"/>
            <c:showSerName val="0"/>
            <c:showPercent val="0"/>
            <c:showBubbleSize val="0"/>
            <c:showLeaderLines val="0"/>
          </c:dLbls>
          <c:cat>
            <c:strRef>
              <c:f>[1]LAPOP2!$BZ$35:$CC$35</c:f>
              <c:strCache>
                <c:ptCount val="4"/>
                <c:pt idx="0">
                  <c:v>_x000c_Nada (34.8%)</c:v>
                </c:pt>
                <c:pt idx="1">
                  <c:v>_x000c_Poco (36.6%)</c:v>
                </c:pt>
                <c:pt idx="2">
                  <c:v>_x000c_Algo (24.1%)</c:v>
                </c:pt>
                <c:pt idx="3">
                  <c:v>_x000c_Mucho (4.5%)</c:v>
                </c:pt>
              </c:strCache>
            </c:strRef>
          </c:cat>
          <c:val>
            <c:numRef>
              <c:f>[1]LAPOP2!$BZ$38:$CC$38</c:f>
              <c:numCache>
                <c:formatCode>General</c:formatCode>
                <c:ptCount val="4"/>
                <c:pt idx="0">
                  <c:v>32.17213114754098</c:v>
                </c:pt>
                <c:pt idx="1">
                  <c:v>22.95719844357977</c:v>
                </c:pt>
                <c:pt idx="2">
                  <c:v>22.12389380530973</c:v>
                </c:pt>
                <c:pt idx="3">
                  <c:v>19.04761904761905</c:v>
                </c:pt>
              </c:numCache>
            </c:numRef>
          </c:val>
        </c:ser>
        <c:ser>
          <c:idx val="3"/>
          <c:order val="3"/>
          <c:tx>
            <c:strRef>
              <c:f>[1]LAPOP2!$BY$39</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[1]LAPOP2!$BZ$35:$CC$35</c:f>
              <c:strCache>
                <c:ptCount val="4"/>
                <c:pt idx="0">
                  <c:v>_x000c_Nada (34.8%)</c:v>
                </c:pt>
                <c:pt idx="1">
                  <c:v>_x000c_Poco (36.6%)</c:v>
                </c:pt>
                <c:pt idx="2">
                  <c:v>_x000c_Algo (24.1%)</c:v>
                </c:pt>
                <c:pt idx="3">
                  <c:v>_x000c_Mucho (4.5%)</c:v>
                </c:pt>
              </c:strCache>
            </c:strRef>
          </c:cat>
          <c:val>
            <c:numRef>
              <c:f>[1]LAPOP2!$BZ$39:$CC$39</c:f>
              <c:numCache>
                <c:formatCode>General</c:formatCode>
                <c:ptCount val="4"/>
                <c:pt idx="0">
                  <c:v>3.278688524590164</c:v>
                </c:pt>
                <c:pt idx="1">
                  <c:v>3.30739299610895</c:v>
                </c:pt>
                <c:pt idx="2">
                  <c:v>2.654867256637168</c:v>
                </c:pt>
                <c:pt idx="3">
                  <c:v>0.0</c:v>
                </c:pt>
              </c:numCache>
            </c:numRef>
          </c:val>
        </c:ser>
        <c:ser>
          <c:idx val="4"/>
          <c:order val="4"/>
          <c:tx>
            <c:strRef>
              <c:f>[1]LAPOP2!$BY$40</c:f>
              <c:strCache>
                <c:ptCount val="1"/>
                <c:pt idx="0">
                  <c:v>Muy en desacuerdo</c:v>
                </c:pt>
              </c:strCache>
            </c:strRef>
          </c:tx>
          <c:invertIfNegative val="0"/>
          <c:dLbls>
            <c:numFmt formatCode="#,##0.00" sourceLinked="0"/>
            <c:showLegendKey val="0"/>
            <c:showVal val="1"/>
            <c:showCatName val="0"/>
            <c:showSerName val="0"/>
            <c:showPercent val="0"/>
            <c:showBubbleSize val="0"/>
            <c:showLeaderLines val="0"/>
          </c:dLbls>
          <c:cat>
            <c:strRef>
              <c:f>[1]LAPOP2!$BZ$35:$CC$35</c:f>
              <c:strCache>
                <c:ptCount val="4"/>
                <c:pt idx="0">
                  <c:v>_x000c_Nada (34.8%)</c:v>
                </c:pt>
                <c:pt idx="1">
                  <c:v>_x000c_Poco (36.6%)</c:v>
                </c:pt>
                <c:pt idx="2">
                  <c:v>_x000c_Algo (24.1%)</c:v>
                </c:pt>
                <c:pt idx="3">
                  <c:v>_x000c_Mucho (4.5%)</c:v>
                </c:pt>
              </c:strCache>
            </c:strRef>
          </c:cat>
          <c:val>
            <c:numRef>
              <c:f>[1]LAPOP2!$BZ$40:$CC$40</c:f>
              <c:numCache>
                <c:formatCode>General</c:formatCode>
                <c:ptCount val="4"/>
                <c:pt idx="0">
                  <c:v>1.639344262295082</c:v>
                </c:pt>
                <c:pt idx="1">
                  <c:v>0.583657587548638</c:v>
                </c:pt>
                <c:pt idx="2">
                  <c:v>0.0</c:v>
                </c:pt>
                <c:pt idx="3">
                  <c:v>3.174603174603174</c:v>
                </c:pt>
              </c:numCache>
            </c:numRef>
          </c:val>
        </c:ser>
        <c:dLbls>
          <c:showLegendKey val="0"/>
          <c:showVal val="1"/>
          <c:showCatName val="0"/>
          <c:showSerName val="0"/>
          <c:showPercent val="0"/>
          <c:showBubbleSize val="0"/>
        </c:dLbls>
        <c:gapWidth val="75"/>
        <c:axId val="1568358216"/>
        <c:axId val="1568398072"/>
      </c:barChart>
      <c:catAx>
        <c:axId val="1568358216"/>
        <c:scaling>
          <c:orientation val="minMax"/>
        </c:scaling>
        <c:delete val="0"/>
        <c:axPos val="b"/>
        <c:majorTickMark val="none"/>
        <c:minorTickMark val="none"/>
        <c:tickLblPos val="nextTo"/>
        <c:crossAx val="1568398072"/>
        <c:crosses val="autoZero"/>
        <c:auto val="1"/>
        <c:lblAlgn val="ctr"/>
        <c:lblOffset val="100"/>
        <c:noMultiLvlLbl val="0"/>
      </c:catAx>
      <c:valAx>
        <c:axId val="1568398072"/>
        <c:scaling>
          <c:orientation val="minMax"/>
          <c:max val="100.0"/>
        </c:scaling>
        <c:delete val="0"/>
        <c:axPos val="l"/>
        <c:numFmt formatCode="General" sourceLinked="1"/>
        <c:majorTickMark val="none"/>
        <c:minorTickMark val="none"/>
        <c:tickLblPos val="nextTo"/>
        <c:crossAx val="1568358216"/>
        <c:crosses val="autoZero"/>
        <c:crossBetween val="between"/>
      </c:valAx>
    </c:plotArea>
    <c:legend>
      <c:legendPos val="b"/>
      <c:layout>
        <c:manualLayout>
          <c:xMode val="edge"/>
          <c:yMode val="edge"/>
          <c:x val="0.0622969164427569"/>
          <c:y val="0.861206623365628"/>
          <c:w val="0.899999930838685"/>
          <c:h val="0.0555542653942451"/>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996632430292008"/>
          <c:y val="0.120365058110634"/>
          <c:w val="0.880755092529322"/>
          <c:h val="0.658598171950667"/>
        </c:manualLayout>
      </c:layout>
      <c:barChart>
        <c:barDir val="col"/>
        <c:grouping val="clustered"/>
        <c:varyColors val="0"/>
        <c:ser>
          <c:idx val="0"/>
          <c:order val="0"/>
          <c:tx>
            <c:strRef>
              <c:f>[1]LAPOP4!$X$18</c:f>
              <c:strCache>
                <c:ptCount val="1"/>
                <c:pt idx="0">
                  <c:v>Muy de acuerdo</c:v>
                </c:pt>
              </c:strCache>
            </c:strRef>
          </c:tx>
          <c:invertIfNegative val="0"/>
          <c:dLbls>
            <c:numFmt formatCode="#,##0.0" sourceLinked="0"/>
            <c:showLegendKey val="0"/>
            <c:showVal val="1"/>
            <c:showCatName val="0"/>
            <c:showSerName val="0"/>
            <c:showPercent val="0"/>
            <c:showBubbleSize val="0"/>
            <c:showLeaderLines val="0"/>
          </c:dLbls>
          <c:cat>
            <c:strRef>
              <c:f>[1]LAPOP4!$Y$17:$Z$17</c:f>
              <c:strCache>
                <c:ptCount val="2"/>
                <c:pt idx="0">
                  <c:v>#Simpatiza con algún Partido (14.6%)</c:v>
                </c:pt>
                <c:pt idx="1">
                  <c:v>&amp;No Simpatiza con algún Partido (85.4%)</c:v>
                </c:pt>
              </c:strCache>
            </c:strRef>
          </c:cat>
          <c:val>
            <c:numRef>
              <c:f>[1]LAPOP4!$Y$18:$Z$18</c:f>
              <c:numCache>
                <c:formatCode>General</c:formatCode>
                <c:ptCount val="2"/>
                <c:pt idx="0">
                  <c:v>31.0880829015544</c:v>
                </c:pt>
                <c:pt idx="1">
                  <c:v>17.50663129973475</c:v>
                </c:pt>
              </c:numCache>
            </c:numRef>
          </c:val>
        </c:ser>
        <c:ser>
          <c:idx val="1"/>
          <c:order val="1"/>
          <c:tx>
            <c:strRef>
              <c:f>[1]LAPOP4!$X$19</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[1]LAPOP4!$Y$17:$Z$17</c:f>
              <c:strCache>
                <c:ptCount val="2"/>
                <c:pt idx="0">
                  <c:v>#Simpatiza con algún Partido (14.6%)</c:v>
                </c:pt>
                <c:pt idx="1">
                  <c:v>&amp;No Simpatiza con algún Partido (85.4%)</c:v>
                </c:pt>
              </c:strCache>
            </c:strRef>
          </c:cat>
          <c:val>
            <c:numRef>
              <c:f>[1]LAPOP4!$Y$19:$Z$19</c:f>
              <c:numCache>
                <c:formatCode>General</c:formatCode>
                <c:ptCount val="2"/>
                <c:pt idx="0">
                  <c:v>45.07772020725388</c:v>
                </c:pt>
                <c:pt idx="1">
                  <c:v>51.28205128205128</c:v>
                </c:pt>
              </c:numCache>
            </c:numRef>
          </c:val>
        </c:ser>
        <c:ser>
          <c:idx val="2"/>
          <c:order val="2"/>
          <c:tx>
            <c:strRef>
              <c:f>[1]LAPOP4!$X$20</c:f>
              <c:strCache>
                <c:ptCount val="1"/>
                <c:pt idx="0">
                  <c:v>Ni de acuerdo ni en desacuerdo</c:v>
                </c:pt>
              </c:strCache>
            </c:strRef>
          </c:tx>
          <c:invertIfNegative val="0"/>
          <c:dLbls>
            <c:numFmt formatCode="#,##0.0" sourceLinked="0"/>
            <c:showLegendKey val="0"/>
            <c:showVal val="1"/>
            <c:showCatName val="0"/>
            <c:showSerName val="0"/>
            <c:showPercent val="0"/>
            <c:showBubbleSize val="0"/>
            <c:showLeaderLines val="0"/>
          </c:dLbls>
          <c:cat>
            <c:strRef>
              <c:f>[1]LAPOP4!$Y$17:$Z$17</c:f>
              <c:strCache>
                <c:ptCount val="2"/>
                <c:pt idx="0">
                  <c:v>#Simpatiza con algún Partido (14.6%)</c:v>
                </c:pt>
                <c:pt idx="1">
                  <c:v>&amp;No Simpatiza con algún Partido (85.4%)</c:v>
                </c:pt>
              </c:strCache>
            </c:strRef>
          </c:cat>
          <c:val>
            <c:numRef>
              <c:f>[1]LAPOP4!$Y$20:$Z$20</c:f>
              <c:numCache>
                <c:formatCode>General</c:formatCode>
                <c:ptCount val="2"/>
                <c:pt idx="0">
                  <c:v>19.17098445595855</c:v>
                </c:pt>
                <c:pt idx="1">
                  <c:v>27.40937223695844</c:v>
                </c:pt>
              </c:numCache>
            </c:numRef>
          </c:val>
        </c:ser>
        <c:ser>
          <c:idx val="3"/>
          <c:order val="3"/>
          <c:tx>
            <c:strRef>
              <c:f>[1]LAPOP4!$X$21</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[1]LAPOP4!$Y$17:$Z$17</c:f>
              <c:strCache>
                <c:ptCount val="2"/>
                <c:pt idx="0">
                  <c:v>#Simpatiza con algún Partido (14.6%)</c:v>
                </c:pt>
                <c:pt idx="1">
                  <c:v>&amp;No Simpatiza con algún Partido (85.4%)</c:v>
                </c:pt>
              </c:strCache>
            </c:strRef>
          </c:cat>
          <c:val>
            <c:numRef>
              <c:f>[1]LAPOP4!$Y$21:$Z$21</c:f>
              <c:numCache>
                <c:formatCode>General</c:formatCode>
                <c:ptCount val="2"/>
                <c:pt idx="0">
                  <c:v>3.626943005181347</c:v>
                </c:pt>
                <c:pt idx="1">
                  <c:v>2.829354553492485</c:v>
                </c:pt>
              </c:numCache>
            </c:numRef>
          </c:val>
        </c:ser>
        <c:ser>
          <c:idx val="4"/>
          <c:order val="4"/>
          <c:tx>
            <c:strRef>
              <c:f>[1]LAPOP4!$X$22</c:f>
              <c:strCache>
                <c:ptCount val="1"/>
                <c:pt idx="0">
                  <c:v>Muy en desacuerdo</c:v>
                </c:pt>
              </c:strCache>
            </c:strRef>
          </c:tx>
          <c:invertIfNegative val="0"/>
          <c:dLbls>
            <c:numFmt formatCode="#,##0.0" sourceLinked="0"/>
            <c:showLegendKey val="0"/>
            <c:showVal val="1"/>
            <c:showCatName val="0"/>
            <c:showSerName val="0"/>
            <c:showPercent val="0"/>
            <c:showBubbleSize val="0"/>
            <c:showLeaderLines val="0"/>
          </c:dLbls>
          <c:cat>
            <c:strRef>
              <c:f>[1]LAPOP4!$Y$17:$Z$17</c:f>
              <c:strCache>
                <c:ptCount val="2"/>
                <c:pt idx="0">
                  <c:v>#Simpatiza con algún Partido (14.6%)</c:v>
                </c:pt>
                <c:pt idx="1">
                  <c:v>&amp;No Simpatiza con algún Partido (85.4%)</c:v>
                </c:pt>
              </c:strCache>
            </c:strRef>
          </c:cat>
          <c:val>
            <c:numRef>
              <c:f>[1]LAPOP4!$Y$22:$Z$22</c:f>
              <c:numCache>
                <c:formatCode>General</c:formatCode>
                <c:ptCount val="2"/>
                <c:pt idx="0">
                  <c:v>1.036269430051813</c:v>
                </c:pt>
                <c:pt idx="1">
                  <c:v>0.972590627763041</c:v>
                </c:pt>
              </c:numCache>
            </c:numRef>
          </c:val>
        </c:ser>
        <c:dLbls>
          <c:showLegendKey val="0"/>
          <c:showVal val="1"/>
          <c:showCatName val="0"/>
          <c:showSerName val="0"/>
          <c:showPercent val="0"/>
          <c:showBubbleSize val="0"/>
        </c:dLbls>
        <c:gapWidth val="75"/>
        <c:axId val="1500472536"/>
        <c:axId val="1561308152"/>
      </c:barChart>
      <c:catAx>
        <c:axId val="1500472536"/>
        <c:scaling>
          <c:orientation val="minMax"/>
        </c:scaling>
        <c:delete val="0"/>
        <c:axPos val="b"/>
        <c:majorTickMark val="none"/>
        <c:minorTickMark val="none"/>
        <c:tickLblPos val="nextTo"/>
        <c:crossAx val="1561308152"/>
        <c:crosses val="autoZero"/>
        <c:auto val="1"/>
        <c:lblAlgn val="ctr"/>
        <c:lblOffset val="100"/>
        <c:noMultiLvlLbl val="0"/>
      </c:catAx>
      <c:valAx>
        <c:axId val="1561308152"/>
        <c:scaling>
          <c:orientation val="minMax"/>
          <c:max val="100.0"/>
        </c:scaling>
        <c:delete val="0"/>
        <c:axPos val="l"/>
        <c:numFmt formatCode="General" sourceLinked="1"/>
        <c:majorTickMark val="none"/>
        <c:minorTickMark val="none"/>
        <c:tickLblPos val="nextTo"/>
        <c:crossAx val="1500472536"/>
        <c:crosses val="autoZero"/>
        <c:crossBetween val="between"/>
      </c:valAx>
    </c:plotArea>
    <c:legend>
      <c:legendPos val="b"/>
      <c:layout>
        <c:manualLayout>
          <c:xMode val="edge"/>
          <c:yMode val="edge"/>
          <c:x val="0.0713617807119904"/>
          <c:y val="0.856989701065757"/>
          <c:w val="0.899999929915303"/>
          <c:h val="0.0586631565449244"/>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4139823431162"/>
          <c:y val="0.153981208656232"/>
          <c:w val="0.878814722023384"/>
          <c:h val="0.616611460579627"/>
        </c:manualLayout>
      </c:layout>
      <c:barChart>
        <c:barDir val="col"/>
        <c:grouping val="clustered"/>
        <c:varyColors val="0"/>
        <c:ser>
          <c:idx val="0"/>
          <c:order val="0"/>
          <c:tx>
            <c:strRef>
              <c:f>[1]LAPOP2!$CH$28</c:f>
              <c:strCache>
                <c:ptCount val="1"/>
                <c:pt idx="0">
                  <c:v>Muy de acuerdo</c:v>
                </c:pt>
              </c:strCache>
            </c:strRef>
          </c:tx>
          <c:invertIfNegative val="0"/>
          <c:dLbls>
            <c:dLbl>
              <c:idx val="0"/>
              <c:numFmt formatCode="#,##0.0" sourceLinked="0"/>
              <c:spPr/>
              <c:txPr>
                <a:bodyPr/>
                <a:lstStyle/>
                <a:p>
                  <a:pPr>
                    <a:defRPr/>
                  </a:pPr>
                  <a:endParaRPr lang="es-ES"/>
                </a:p>
              </c:txPr>
              <c:showLegendKey val="0"/>
              <c:showVal val="1"/>
              <c:showCatName val="0"/>
              <c:showSerName val="0"/>
              <c:showPercent val="0"/>
              <c:showBubbleSize val="0"/>
            </c:dLbl>
            <c:dLbl>
              <c:idx val="1"/>
              <c:numFmt formatCode="#,##0.0" sourceLinked="0"/>
              <c:spPr/>
              <c:txPr>
                <a:bodyPr/>
                <a:lstStyle/>
                <a:p>
                  <a:pPr>
                    <a:defRPr/>
                  </a:pPr>
                  <a:endParaRPr lang="es-ES"/>
                </a:p>
              </c:txPr>
              <c:showLegendKey val="0"/>
              <c:showVal val="1"/>
              <c:showCatName val="0"/>
              <c:showSerName val="0"/>
              <c:showPercent val="0"/>
              <c:showBubbleSize val="0"/>
            </c:dLbl>
            <c:showLegendKey val="0"/>
            <c:showVal val="1"/>
            <c:showCatName val="0"/>
            <c:showSerName val="0"/>
            <c:showPercent val="0"/>
            <c:showBubbleSize val="0"/>
            <c:showLeaderLines val="0"/>
          </c:dLbls>
          <c:cat>
            <c:strRef>
              <c:f>[1]LAPOP2!$CI$27:$CJ$27</c:f>
              <c:strCache>
                <c:ptCount val="2"/>
                <c:pt idx="0">
                  <c:v>_x0019_Sí ha participado (11.4%)</c:v>
                </c:pt>
                <c:pt idx="1">
                  <c:v>_x0019_No ha participado (88.6%)</c:v>
                </c:pt>
              </c:strCache>
            </c:strRef>
          </c:cat>
          <c:val>
            <c:numRef>
              <c:f>[1]LAPOP2!$CI$28:$CJ$28</c:f>
              <c:numCache>
                <c:formatCode>General</c:formatCode>
                <c:ptCount val="2"/>
                <c:pt idx="0">
                  <c:v>37.03703703703704</c:v>
                </c:pt>
                <c:pt idx="1">
                  <c:v>17.70334928229665</c:v>
                </c:pt>
              </c:numCache>
            </c:numRef>
          </c:val>
        </c:ser>
        <c:ser>
          <c:idx val="1"/>
          <c:order val="1"/>
          <c:tx>
            <c:strRef>
              <c:f>[1]LAPOP2!$CH$29</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[1]LAPOP2!$CI$27:$CJ$27</c:f>
              <c:strCache>
                <c:ptCount val="2"/>
                <c:pt idx="0">
                  <c:v>_x0019_Sí ha participado (11.4%)</c:v>
                </c:pt>
                <c:pt idx="1">
                  <c:v>_x0019_No ha participado (88.6%)</c:v>
                </c:pt>
              </c:strCache>
            </c:strRef>
          </c:cat>
          <c:val>
            <c:numRef>
              <c:f>[1]LAPOP2!$CI$29:$CJ$29</c:f>
              <c:numCache>
                <c:formatCode>General</c:formatCode>
                <c:ptCount val="2"/>
                <c:pt idx="0">
                  <c:v>35.80246913580247</c:v>
                </c:pt>
                <c:pt idx="1">
                  <c:v>52.15311004784689</c:v>
                </c:pt>
              </c:numCache>
            </c:numRef>
          </c:val>
        </c:ser>
        <c:ser>
          <c:idx val="2"/>
          <c:order val="2"/>
          <c:tx>
            <c:strRef>
              <c:f>[1]LAPOP2!$CH$30</c:f>
              <c:strCache>
                <c:ptCount val="1"/>
                <c:pt idx="0">
                  <c:v>Ni de acuerdo ni en desacuerdo</c:v>
                </c:pt>
              </c:strCache>
            </c:strRef>
          </c:tx>
          <c:invertIfNegative val="0"/>
          <c:dLbls>
            <c:numFmt formatCode="#,##0.0" sourceLinked="0"/>
            <c:showLegendKey val="0"/>
            <c:showVal val="1"/>
            <c:showCatName val="0"/>
            <c:showSerName val="0"/>
            <c:showPercent val="0"/>
            <c:showBubbleSize val="0"/>
            <c:showLeaderLines val="0"/>
          </c:dLbls>
          <c:cat>
            <c:strRef>
              <c:f>[1]LAPOP2!$CI$27:$CJ$27</c:f>
              <c:strCache>
                <c:ptCount val="2"/>
                <c:pt idx="0">
                  <c:v>_x0019_Sí ha participado (11.4%)</c:v>
                </c:pt>
                <c:pt idx="1">
                  <c:v>_x0019_No ha participado (88.6%)</c:v>
                </c:pt>
              </c:strCache>
            </c:strRef>
          </c:cat>
          <c:val>
            <c:numRef>
              <c:f>[1]LAPOP2!$CI$30:$CJ$30</c:f>
              <c:numCache>
                <c:formatCode>General</c:formatCode>
                <c:ptCount val="2"/>
                <c:pt idx="0">
                  <c:v>21.60493827160494</c:v>
                </c:pt>
                <c:pt idx="1">
                  <c:v>26.39553429027113</c:v>
                </c:pt>
              </c:numCache>
            </c:numRef>
          </c:val>
        </c:ser>
        <c:ser>
          <c:idx val="3"/>
          <c:order val="3"/>
          <c:tx>
            <c:strRef>
              <c:f>[1]LAPOP2!$CH$31</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[1]LAPOP2!$CI$27:$CJ$27</c:f>
              <c:strCache>
                <c:ptCount val="2"/>
                <c:pt idx="0">
                  <c:v>_x0019_Sí ha participado (11.4%)</c:v>
                </c:pt>
                <c:pt idx="1">
                  <c:v>_x0019_No ha participado (88.6%)</c:v>
                </c:pt>
              </c:strCache>
            </c:strRef>
          </c:cat>
          <c:val>
            <c:numRef>
              <c:f>[1]LAPOP2!$CI$31:$CJ$31</c:f>
              <c:numCache>
                <c:formatCode>General</c:formatCode>
                <c:ptCount val="2"/>
                <c:pt idx="0">
                  <c:v>2.469135802469136</c:v>
                </c:pt>
                <c:pt idx="1">
                  <c:v>3.03030303030303</c:v>
                </c:pt>
              </c:numCache>
            </c:numRef>
          </c:val>
        </c:ser>
        <c:ser>
          <c:idx val="4"/>
          <c:order val="4"/>
          <c:tx>
            <c:strRef>
              <c:f>[1]LAPOP2!$CH$32</c:f>
              <c:strCache>
                <c:ptCount val="1"/>
                <c:pt idx="0">
                  <c:v>Muy en desacuerdo</c:v>
                </c:pt>
              </c:strCache>
            </c:strRef>
          </c:tx>
          <c:invertIfNegative val="0"/>
          <c:dLbls>
            <c:numFmt formatCode="#,##0.0" sourceLinked="0"/>
            <c:showLegendKey val="0"/>
            <c:showVal val="1"/>
            <c:showCatName val="0"/>
            <c:showSerName val="0"/>
            <c:showPercent val="0"/>
            <c:showBubbleSize val="0"/>
            <c:showLeaderLines val="0"/>
          </c:dLbls>
          <c:cat>
            <c:strRef>
              <c:f>[1]LAPOP2!$CI$27:$CJ$27</c:f>
              <c:strCache>
                <c:ptCount val="2"/>
                <c:pt idx="0">
                  <c:v>_x0019_Sí ha participado (11.4%)</c:v>
                </c:pt>
                <c:pt idx="1">
                  <c:v>_x0019_No ha participado (88.6%)</c:v>
                </c:pt>
              </c:strCache>
            </c:strRef>
          </c:cat>
          <c:val>
            <c:numRef>
              <c:f>[1]LAPOP2!$CI$32:$CJ$32</c:f>
              <c:numCache>
                <c:formatCode>General</c:formatCode>
                <c:ptCount val="2"/>
                <c:pt idx="0">
                  <c:v>3.08641975308642</c:v>
                </c:pt>
                <c:pt idx="1">
                  <c:v>0.717703349282297</c:v>
                </c:pt>
              </c:numCache>
            </c:numRef>
          </c:val>
        </c:ser>
        <c:dLbls>
          <c:showLegendKey val="0"/>
          <c:showVal val="1"/>
          <c:showCatName val="0"/>
          <c:showSerName val="0"/>
          <c:showPercent val="0"/>
          <c:showBubbleSize val="0"/>
        </c:dLbls>
        <c:gapWidth val="75"/>
        <c:axId val="1561257672"/>
        <c:axId val="1567755256"/>
      </c:barChart>
      <c:catAx>
        <c:axId val="1561257672"/>
        <c:scaling>
          <c:orientation val="minMax"/>
        </c:scaling>
        <c:delete val="0"/>
        <c:axPos val="b"/>
        <c:majorTickMark val="none"/>
        <c:minorTickMark val="none"/>
        <c:tickLblPos val="nextTo"/>
        <c:crossAx val="1567755256"/>
        <c:crosses val="autoZero"/>
        <c:auto val="1"/>
        <c:lblAlgn val="ctr"/>
        <c:lblOffset val="100"/>
        <c:noMultiLvlLbl val="0"/>
      </c:catAx>
      <c:valAx>
        <c:axId val="1567755256"/>
        <c:scaling>
          <c:orientation val="minMax"/>
          <c:max val="100.0"/>
        </c:scaling>
        <c:delete val="0"/>
        <c:axPos val="l"/>
        <c:numFmt formatCode="General" sourceLinked="1"/>
        <c:majorTickMark val="none"/>
        <c:minorTickMark val="none"/>
        <c:tickLblPos val="nextTo"/>
        <c:crossAx val="1561257672"/>
        <c:crosses val="autoZero"/>
        <c:crossBetween val="between"/>
      </c:valAx>
    </c:plotArea>
    <c:legend>
      <c:legendPos val="b"/>
      <c:layout>
        <c:manualLayout>
          <c:xMode val="edge"/>
          <c:yMode val="edge"/>
          <c:x val="0.0613636363636364"/>
          <c:y val="0.855117415648097"/>
          <c:w val="0.9"/>
          <c:h val="0.0544871148494607"/>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874642638174165"/>
          <c:y val="0.109719695232271"/>
          <c:w val="0.89328814213184"/>
          <c:h val="0.634279744158194"/>
        </c:manualLayout>
      </c:layout>
      <c:barChart>
        <c:barDir val="col"/>
        <c:grouping val="clustered"/>
        <c:varyColors val="0"/>
        <c:ser>
          <c:idx val="0"/>
          <c:order val="0"/>
          <c:tx>
            <c:strRef>
              <c:f>[1]LAPOP4!$C$23</c:f>
              <c:strCache>
                <c:ptCount val="1"/>
                <c:pt idx="0">
                  <c:v>Muy de acuerdo</c:v>
                </c:pt>
              </c:strCache>
            </c:strRef>
          </c:tx>
          <c:invertIfNegative val="0"/>
          <c:dLbls>
            <c:numFmt formatCode="#,##0.0" sourceLinked="0"/>
            <c:showLegendKey val="0"/>
            <c:showVal val="1"/>
            <c:showCatName val="0"/>
            <c:showSerName val="0"/>
            <c:showPercent val="0"/>
            <c:showBubbleSize val="0"/>
            <c:showLeaderLines val="0"/>
          </c:dLbls>
          <c:cat>
            <c:strRef>
              <c:f>[1]LAPOP4!$D$22:$E$22</c:f>
              <c:strCache>
                <c:ptCount val="2"/>
                <c:pt idx="0">
                  <c:v>_x0012_Satisfecho (38.2%)</c:v>
                </c:pt>
                <c:pt idx="1">
                  <c:v>_x0014_Insatisfecho (61.8%)</c:v>
                </c:pt>
              </c:strCache>
            </c:strRef>
          </c:cat>
          <c:val>
            <c:numRef>
              <c:f>[1]LAPOP4!$D$23:$E$23</c:f>
              <c:numCache>
                <c:formatCode>General</c:formatCode>
                <c:ptCount val="2"/>
                <c:pt idx="0">
                  <c:v>19.34065934065934</c:v>
                </c:pt>
                <c:pt idx="1">
                  <c:v>18.88586956521739</c:v>
                </c:pt>
              </c:numCache>
            </c:numRef>
          </c:val>
        </c:ser>
        <c:ser>
          <c:idx val="1"/>
          <c:order val="1"/>
          <c:tx>
            <c:strRef>
              <c:f>[1]LAPOP4!$C$24</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[1]LAPOP4!$D$22:$E$22</c:f>
              <c:strCache>
                <c:ptCount val="2"/>
                <c:pt idx="0">
                  <c:v>_x0012_Satisfecho (38.2%)</c:v>
                </c:pt>
                <c:pt idx="1">
                  <c:v>_x0014_Insatisfecho (61.8%)</c:v>
                </c:pt>
              </c:strCache>
            </c:strRef>
          </c:cat>
          <c:val>
            <c:numRef>
              <c:f>[1]LAPOP4!$D$24:$E$24</c:f>
              <c:numCache>
                <c:formatCode>General</c:formatCode>
                <c:ptCount val="2"/>
                <c:pt idx="0">
                  <c:v>45.4945054945055</c:v>
                </c:pt>
                <c:pt idx="1">
                  <c:v>51.90217391304348</c:v>
                </c:pt>
              </c:numCache>
            </c:numRef>
          </c:val>
        </c:ser>
        <c:ser>
          <c:idx val="2"/>
          <c:order val="2"/>
          <c:tx>
            <c:strRef>
              <c:f>[1]LAPOP4!$C$25</c:f>
              <c:strCache>
                <c:ptCount val="1"/>
                <c:pt idx="0">
                  <c:v>Ni de acuerdo ni en desacuerdo</c:v>
                </c:pt>
              </c:strCache>
            </c:strRef>
          </c:tx>
          <c:invertIfNegative val="0"/>
          <c:dLbls>
            <c:numFmt formatCode="#,##0.0" sourceLinked="0"/>
            <c:showLegendKey val="0"/>
            <c:showVal val="1"/>
            <c:showCatName val="0"/>
            <c:showSerName val="0"/>
            <c:showPercent val="0"/>
            <c:showBubbleSize val="0"/>
            <c:showLeaderLines val="0"/>
          </c:dLbls>
          <c:cat>
            <c:strRef>
              <c:f>[1]LAPOP4!$D$22:$E$22</c:f>
              <c:strCache>
                <c:ptCount val="2"/>
                <c:pt idx="0">
                  <c:v>_x0012_Satisfecho (38.2%)</c:v>
                </c:pt>
                <c:pt idx="1">
                  <c:v>_x0014_Insatisfecho (61.8%)</c:v>
                </c:pt>
              </c:strCache>
            </c:strRef>
          </c:cat>
          <c:val>
            <c:numRef>
              <c:f>[1]LAPOP4!$D$25:$E$25</c:f>
              <c:numCache>
                <c:formatCode>General</c:formatCode>
                <c:ptCount val="2"/>
                <c:pt idx="0">
                  <c:v>31.64835164835165</c:v>
                </c:pt>
                <c:pt idx="1">
                  <c:v>24.45652173913043</c:v>
                </c:pt>
              </c:numCache>
            </c:numRef>
          </c:val>
        </c:ser>
        <c:ser>
          <c:idx val="3"/>
          <c:order val="3"/>
          <c:tx>
            <c:strRef>
              <c:f>[1]LAPOP4!$C$26</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[1]LAPOP4!$D$22:$E$22</c:f>
              <c:strCache>
                <c:ptCount val="2"/>
                <c:pt idx="0">
                  <c:v>_x0012_Satisfecho (38.2%)</c:v>
                </c:pt>
                <c:pt idx="1">
                  <c:v>_x0014_Insatisfecho (61.8%)</c:v>
                </c:pt>
              </c:strCache>
            </c:strRef>
          </c:cat>
          <c:val>
            <c:numRef>
              <c:f>[1]LAPOP4!$D$26:$E$26</c:f>
              <c:numCache>
                <c:formatCode>General</c:formatCode>
                <c:ptCount val="2"/>
                <c:pt idx="0">
                  <c:v>3.076923076923077</c:v>
                </c:pt>
                <c:pt idx="1">
                  <c:v>3.396739130434782</c:v>
                </c:pt>
              </c:numCache>
            </c:numRef>
          </c:val>
        </c:ser>
        <c:ser>
          <c:idx val="4"/>
          <c:order val="4"/>
          <c:tx>
            <c:strRef>
              <c:f>[1]LAPOP4!$C$27</c:f>
              <c:strCache>
                <c:ptCount val="1"/>
                <c:pt idx="0">
                  <c:v>Muy en desacuerdo</c:v>
                </c:pt>
              </c:strCache>
            </c:strRef>
          </c:tx>
          <c:invertIfNegative val="0"/>
          <c:dLbls>
            <c:numFmt formatCode="#,##0.0" sourceLinked="0"/>
            <c:showLegendKey val="0"/>
            <c:showVal val="1"/>
            <c:showCatName val="0"/>
            <c:showSerName val="0"/>
            <c:showPercent val="0"/>
            <c:showBubbleSize val="0"/>
            <c:showLeaderLines val="0"/>
          </c:dLbls>
          <c:cat>
            <c:strRef>
              <c:f>[1]LAPOP4!$D$22:$E$22</c:f>
              <c:strCache>
                <c:ptCount val="2"/>
                <c:pt idx="0">
                  <c:v>_x0012_Satisfecho (38.2%)</c:v>
                </c:pt>
                <c:pt idx="1">
                  <c:v>_x0014_Insatisfecho (61.8%)</c:v>
                </c:pt>
              </c:strCache>
            </c:strRef>
          </c:cat>
          <c:val>
            <c:numRef>
              <c:f>[1]LAPOP4!$D$27:$E$27</c:f>
              <c:numCache>
                <c:formatCode>General</c:formatCode>
                <c:ptCount val="2"/>
                <c:pt idx="0">
                  <c:v>0.43956043956044</c:v>
                </c:pt>
                <c:pt idx="1">
                  <c:v>1.358695652173913</c:v>
                </c:pt>
              </c:numCache>
            </c:numRef>
          </c:val>
        </c:ser>
        <c:dLbls>
          <c:showLegendKey val="0"/>
          <c:showVal val="1"/>
          <c:showCatName val="0"/>
          <c:showSerName val="0"/>
          <c:showPercent val="0"/>
          <c:showBubbleSize val="0"/>
        </c:dLbls>
        <c:gapWidth val="75"/>
        <c:axId val="1561102744"/>
        <c:axId val="1500076136"/>
      </c:barChart>
      <c:catAx>
        <c:axId val="1561102744"/>
        <c:scaling>
          <c:orientation val="minMax"/>
        </c:scaling>
        <c:delete val="0"/>
        <c:axPos val="b"/>
        <c:numFmt formatCode="#.##00" sourceLinked="1"/>
        <c:majorTickMark val="none"/>
        <c:minorTickMark val="none"/>
        <c:tickLblPos val="nextTo"/>
        <c:crossAx val="1500076136"/>
        <c:crosses val="autoZero"/>
        <c:auto val="1"/>
        <c:lblAlgn val="ctr"/>
        <c:lblOffset val="100"/>
        <c:noMultiLvlLbl val="0"/>
      </c:catAx>
      <c:valAx>
        <c:axId val="1500076136"/>
        <c:scaling>
          <c:orientation val="minMax"/>
          <c:max val="100.0"/>
        </c:scaling>
        <c:delete val="0"/>
        <c:axPos val="l"/>
        <c:numFmt formatCode="General" sourceLinked="1"/>
        <c:majorTickMark val="none"/>
        <c:minorTickMark val="none"/>
        <c:tickLblPos val="nextTo"/>
        <c:crossAx val="1561102744"/>
        <c:crosses val="autoZero"/>
        <c:crossBetween val="between"/>
      </c:valAx>
    </c:plotArea>
    <c:legend>
      <c:legendPos val="b"/>
      <c:layout>
        <c:manualLayout>
          <c:xMode val="edge"/>
          <c:yMode val="edge"/>
          <c:x val="0.074496868993738"/>
          <c:y val="0.82497439033713"/>
          <c:w val="0.9"/>
          <c:h val="0.0582380463311651"/>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434481137619"/>
          <c:y val="0.142564874003684"/>
          <c:w val="0.8706749715987"/>
          <c:h val="0.587945997429487"/>
        </c:manualLayout>
      </c:layout>
      <c:barChart>
        <c:barDir val="col"/>
        <c:grouping val="clustered"/>
        <c:varyColors val="0"/>
        <c:ser>
          <c:idx val="0"/>
          <c:order val="0"/>
          <c:tx>
            <c:strRef>
              <c:f>[1]LAPOP4!$BF$17</c:f>
              <c:strCache>
                <c:ptCount val="1"/>
                <c:pt idx="0">
                  <c:v>Muy de acuerdo</c:v>
                </c:pt>
              </c:strCache>
            </c:strRef>
          </c:tx>
          <c:invertIfNegative val="0"/>
          <c:dLbls>
            <c:numFmt formatCode="#,##0.0" sourceLinked="0"/>
            <c:showLegendKey val="0"/>
            <c:showVal val="1"/>
            <c:showCatName val="0"/>
            <c:showSerName val="0"/>
            <c:showPercent val="0"/>
            <c:showBubbleSize val="0"/>
            <c:showLeaderLines val="0"/>
          </c:dLbls>
          <c:cat>
            <c:strRef>
              <c:f>[1]LAPOP4!$BG$16:$BI$16</c:f>
              <c:strCache>
                <c:ptCount val="3"/>
                <c:pt idx="0">
                  <c:v>_x000c_Buena (5.4%)</c:v>
                </c:pt>
                <c:pt idx="1">
                  <c:v>_x000f_Regular (59.3%)</c:v>
                </c:pt>
                <c:pt idx="2">
                  <c:v>_x000c_Mala (35.3%)</c:v>
                </c:pt>
              </c:strCache>
            </c:strRef>
          </c:cat>
          <c:val>
            <c:numRef>
              <c:f>[1]LAPOP4!$BG$17:$BI$17</c:f>
              <c:numCache>
                <c:formatCode>General</c:formatCode>
                <c:ptCount val="3"/>
                <c:pt idx="0">
                  <c:v>14.28571428571428</c:v>
                </c:pt>
                <c:pt idx="1">
                  <c:v>18.7012987012987</c:v>
                </c:pt>
                <c:pt idx="2">
                  <c:v>22.2707423580786</c:v>
                </c:pt>
              </c:numCache>
            </c:numRef>
          </c:val>
        </c:ser>
        <c:ser>
          <c:idx val="1"/>
          <c:order val="1"/>
          <c:tx>
            <c:strRef>
              <c:f>[1]LAPOP4!$BF$18</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[1]LAPOP4!$BG$16:$BI$16</c:f>
              <c:strCache>
                <c:ptCount val="3"/>
                <c:pt idx="0">
                  <c:v>_x000c_Buena (5.4%)</c:v>
                </c:pt>
                <c:pt idx="1">
                  <c:v>_x000f_Regular (59.3%)</c:v>
                </c:pt>
                <c:pt idx="2">
                  <c:v>_x000c_Mala (35.3%)</c:v>
                </c:pt>
              </c:strCache>
            </c:strRef>
          </c:cat>
          <c:val>
            <c:numRef>
              <c:f>[1]LAPOP4!$BG$18:$BI$18</c:f>
              <c:numCache>
                <c:formatCode>General</c:formatCode>
                <c:ptCount val="3"/>
                <c:pt idx="0">
                  <c:v>42.85714285714285</c:v>
                </c:pt>
                <c:pt idx="1">
                  <c:v>51.94805194805194</c:v>
                </c:pt>
                <c:pt idx="2">
                  <c:v>47.16157205240174</c:v>
                </c:pt>
              </c:numCache>
            </c:numRef>
          </c:val>
        </c:ser>
        <c:ser>
          <c:idx val="2"/>
          <c:order val="2"/>
          <c:tx>
            <c:strRef>
              <c:f>[1]LAPOP4!$BF$19</c:f>
              <c:strCache>
                <c:ptCount val="1"/>
                <c:pt idx="0">
                  <c:v>Ni de acuerdo ni en desacuerdo</c:v>
                </c:pt>
              </c:strCache>
            </c:strRef>
          </c:tx>
          <c:invertIfNegative val="0"/>
          <c:dLbls>
            <c:numFmt formatCode="#,##0.0" sourceLinked="0"/>
            <c:showLegendKey val="0"/>
            <c:showVal val="1"/>
            <c:showCatName val="0"/>
            <c:showSerName val="0"/>
            <c:showPercent val="0"/>
            <c:showBubbleSize val="0"/>
            <c:showLeaderLines val="0"/>
          </c:dLbls>
          <c:cat>
            <c:strRef>
              <c:f>[1]LAPOP4!$BG$16:$BI$16</c:f>
              <c:strCache>
                <c:ptCount val="3"/>
                <c:pt idx="0">
                  <c:v>_x000c_Buena (5.4%)</c:v>
                </c:pt>
                <c:pt idx="1">
                  <c:v>_x000f_Regular (59.3%)</c:v>
                </c:pt>
                <c:pt idx="2">
                  <c:v>_x000c_Mala (35.3%)</c:v>
                </c:pt>
              </c:strCache>
            </c:strRef>
          </c:cat>
          <c:val>
            <c:numRef>
              <c:f>[1]LAPOP4!$BG$19:$BI$19</c:f>
              <c:numCache>
                <c:formatCode>General</c:formatCode>
                <c:ptCount val="3"/>
                <c:pt idx="0">
                  <c:v>25.71428571428571</c:v>
                </c:pt>
                <c:pt idx="1">
                  <c:v>25.71428571428571</c:v>
                </c:pt>
                <c:pt idx="2">
                  <c:v>27.07423580786027</c:v>
                </c:pt>
              </c:numCache>
            </c:numRef>
          </c:val>
        </c:ser>
        <c:ser>
          <c:idx val="3"/>
          <c:order val="3"/>
          <c:tx>
            <c:strRef>
              <c:f>[1]LAPOP4!$BF$20</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[1]LAPOP4!$BG$16:$BI$16</c:f>
              <c:strCache>
                <c:ptCount val="3"/>
                <c:pt idx="0">
                  <c:v>_x000c_Buena (5.4%)</c:v>
                </c:pt>
                <c:pt idx="1">
                  <c:v>_x000f_Regular (59.3%)</c:v>
                </c:pt>
                <c:pt idx="2">
                  <c:v>_x000c_Mala (35.3%)</c:v>
                </c:pt>
              </c:strCache>
            </c:strRef>
          </c:cat>
          <c:val>
            <c:numRef>
              <c:f>[1]LAPOP4!$BG$20:$BI$20</c:f>
              <c:numCache>
                <c:formatCode>General</c:formatCode>
                <c:ptCount val="3"/>
                <c:pt idx="0">
                  <c:v>11.42857142857143</c:v>
                </c:pt>
                <c:pt idx="1">
                  <c:v>3.116883116883117</c:v>
                </c:pt>
                <c:pt idx="2">
                  <c:v>3.056768558951965</c:v>
                </c:pt>
              </c:numCache>
            </c:numRef>
          </c:val>
        </c:ser>
        <c:ser>
          <c:idx val="4"/>
          <c:order val="4"/>
          <c:tx>
            <c:strRef>
              <c:f>[1]LAPOP4!$BF$21</c:f>
              <c:strCache>
                <c:ptCount val="1"/>
                <c:pt idx="0">
                  <c:v>Muy en desacuerdo</c:v>
                </c:pt>
              </c:strCache>
            </c:strRef>
          </c:tx>
          <c:invertIfNegative val="0"/>
          <c:dLbls>
            <c:numFmt formatCode="#,##0.0" sourceLinked="0"/>
            <c:showLegendKey val="0"/>
            <c:showVal val="1"/>
            <c:showCatName val="0"/>
            <c:showSerName val="0"/>
            <c:showPercent val="0"/>
            <c:showBubbleSize val="0"/>
            <c:showLeaderLines val="0"/>
          </c:dLbls>
          <c:cat>
            <c:strRef>
              <c:f>[1]LAPOP4!$BG$16:$BI$16</c:f>
              <c:strCache>
                <c:ptCount val="3"/>
                <c:pt idx="0">
                  <c:v>_x000c_Buena (5.4%)</c:v>
                </c:pt>
                <c:pt idx="1">
                  <c:v>_x000f_Regular (59.3%)</c:v>
                </c:pt>
                <c:pt idx="2">
                  <c:v>_x000c_Mala (35.3%)</c:v>
                </c:pt>
              </c:strCache>
            </c:strRef>
          </c:cat>
          <c:val>
            <c:numRef>
              <c:f>[1]LAPOP4!$BG$21:$BI$21</c:f>
              <c:numCache>
                <c:formatCode>General</c:formatCode>
                <c:ptCount val="3"/>
                <c:pt idx="0">
                  <c:v>5.714285714285714</c:v>
                </c:pt>
                <c:pt idx="1">
                  <c:v>0.519480519480519</c:v>
                </c:pt>
                <c:pt idx="2">
                  <c:v>0.436681222707424</c:v>
                </c:pt>
              </c:numCache>
            </c:numRef>
          </c:val>
        </c:ser>
        <c:dLbls>
          <c:showLegendKey val="0"/>
          <c:showVal val="1"/>
          <c:showCatName val="0"/>
          <c:showSerName val="0"/>
          <c:showPercent val="0"/>
          <c:showBubbleSize val="0"/>
        </c:dLbls>
        <c:gapWidth val="75"/>
        <c:axId val="1567874936"/>
        <c:axId val="1499579912"/>
      </c:barChart>
      <c:catAx>
        <c:axId val="1567874936"/>
        <c:scaling>
          <c:orientation val="minMax"/>
        </c:scaling>
        <c:delete val="0"/>
        <c:axPos val="b"/>
        <c:majorTickMark val="none"/>
        <c:minorTickMark val="none"/>
        <c:tickLblPos val="nextTo"/>
        <c:crossAx val="1499579912"/>
        <c:crosses val="autoZero"/>
        <c:auto val="1"/>
        <c:lblAlgn val="ctr"/>
        <c:lblOffset val="100"/>
        <c:noMultiLvlLbl val="0"/>
      </c:catAx>
      <c:valAx>
        <c:axId val="1499579912"/>
        <c:scaling>
          <c:orientation val="minMax"/>
          <c:max val="100.0"/>
        </c:scaling>
        <c:delete val="0"/>
        <c:axPos val="l"/>
        <c:numFmt formatCode="General" sourceLinked="1"/>
        <c:majorTickMark val="none"/>
        <c:minorTickMark val="none"/>
        <c:tickLblPos val="nextTo"/>
        <c:crossAx val="1567874936"/>
        <c:crosses val="autoZero"/>
        <c:crossBetween val="between"/>
      </c:valAx>
    </c:plotArea>
    <c:legend>
      <c:legendPos val="b"/>
      <c:layout>
        <c:manualLayout>
          <c:xMode val="edge"/>
          <c:yMode val="edge"/>
          <c:x val="0.0718904689152662"/>
          <c:y val="0.826770798287292"/>
          <c:w val="0.9"/>
          <c:h val="0.0694828354072521"/>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949556685804165"/>
          <c:y val="0.152990037813293"/>
          <c:w val="0.890376167280765"/>
          <c:h val="0.573409696880854"/>
        </c:manualLayout>
      </c:layout>
      <c:barChart>
        <c:barDir val="col"/>
        <c:grouping val="clustered"/>
        <c:varyColors val="0"/>
        <c:ser>
          <c:idx val="0"/>
          <c:order val="0"/>
          <c:tx>
            <c:strRef>
              <c:f>LAPOP1!$CH$4</c:f>
              <c:strCache>
                <c:ptCount val="1"/>
                <c:pt idx="0">
                  <c:v>Muy de acuerdo</c:v>
                </c:pt>
              </c:strCache>
            </c:strRef>
          </c:tx>
          <c:invertIfNegative val="0"/>
          <c:dLbls>
            <c:numFmt formatCode="#,##0.0" sourceLinked="0"/>
            <c:showLegendKey val="0"/>
            <c:showVal val="1"/>
            <c:showCatName val="0"/>
            <c:showSerName val="0"/>
            <c:showPercent val="0"/>
            <c:showBubbleSize val="0"/>
            <c:showLeaderLines val="0"/>
          </c:dLbls>
          <c:cat>
            <c:strRef>
              <c:f>LAPOP1!$CI$3:$CJ$3</c:f>
              <c:strCache>
                <c:ptCount val="2"/>
                <c:pt idx="0">
                  <c:v>Sí Votó (68.2%)</c:v>
                </c:pt>
                <c:pt idx="1">
                  <c:v>No Votó (31.8%)</c:v>
                </c:pt>
              </c:strCache>
            </c:strRef>
          </c:cat>
          <c:val>
            <c:numRef>
              <c:f>LAPOP1!$CI$4:$CJ$4</c:f>
              <c:numCache>
                <c:formatCode>0.00</c:formatCode>
                <c:ptCount val="2"/>
                <c:pt idx="0">
                  <c:v>19.6875</c:v>
                </c:pt>
                <c:pt idx="1">
                  <c:v>19.46308724832215</c:v>
                </c:pt>
              </c:numCache>
            </c:numRef>
          </c:val>
        </c:ser>
        <c:ser>
          <c:idx val="1"/>
          <c:order val="1"/>
          <c:tx>
            <c:strRef>
              <c:f>LAPOP1!$CH$5</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LAPOP1!$CI$3:$CJ$3</c:f>
              <c:strCache>
                <c:ptCount val="2"/>
                <c:pt idx="0">
                  <c:v>Sí Votó (68.2%)</c:v>
                </c:pt>
                <c:pt idx="1">
                  <c:v>No Votó (31.8%)</c:v>
                </c:pt>
              </c:strCache>
            </c:strRef>
          </c:cat>
          <c:val>
            <c:numRef>
              <c:f>LAPOP1!$CI$5:$CJ$5</c:f>
              <c:numCache>
                <c:formatCode>0.00</c:formatCode>
                <c:ptCount val="2"/>
                <c:pt idx="0">
                  <c:v>48.95833333333334</c:v>
                </c:pt>
                <c:pt idx="1">
                  <c:v>54.13870246085011</c:v>
                </c:pt>
              </c:numCache>
            </c:numRef>
          </c:val>
        </c:ser>
        <c:ser>
          <c:idx val="2"/>
          <c:order val="2"/>
          <c:tx>
            <c:strRef>
              <c:f>LAPOP1!$CH$6</c:f>
              <c:strCache>
                <c:ptCount val="1"/>
                <c:pt idx="0">
                  <c:v>Ni de acuerdo ni en desacuerdo</c:v>
                </c:pt>
              </c:strCache>
            </c:strRef>
          </c:tx>
          <c:invertIfNegative val="0"/>
          <c:dLbls>
            <c:numFmt formatCode="#,##0.0" sourceLinked="0"/>
            <c:showLegendKey val="0"/>
            <c:showVal val="1"/>
            <c:showCatName val="0"/>
            <c:showSerName val="0"/>
            <c:showPercent val="0"/>
            <c:showBubbleSize val="0"/>
            <c:showLeaderLines val="0"/>
          </c:dLbls>
          <c:cat>
            <c:strRef>
              <c:f>LAPOP1!$CI$3:$CJ$3</c:f>
              <c:strCache>
                <c:ptCount val="2"/>
                <c:pt idx="0">
                  <c:v>Sí Votó (68.2%)</c:v>
                </c:pt>
                <c:pt idx="1">
                  <c:v>No Votó (31.8%)</c:v>
                </c:pt>
              </c:strCache>
            </c:strRef>
          </c:cat>
          <c:val>
            <c:numRef>
              <c:f>LAPOP1!$CI$6:$CJ$6</c:f>
              <c:numCache>
                <c:formatCode>0.00</c:formatCode>
                <c:ptCount val="2"/>
                <c:pt idx="0">
                  <c:v>27.39583333333333</c:v>
                </c:pt>
                <c:pt idx="1">
                  <c:v>22.37136465324385</c:v>
                </c:pt>
              </c:numCache>
            </c:numRef>
          </c:val>
        </c:ser>
        <c:ser>
          <c:idx val="3"/>
          <c:order val="3"/>
          <c:tx>
            <c:strRef>
              <c:f>LAPOP1!$CH$7</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LAPOP1!$CI$3:$CJ$3</c:f>
              <c:strCache>
                <c:ptCount val="2"/>
                <c:pt idx="0">
                  <c:v>Sí Votó (68.2%)</c:v>
                </c:pt>
                <c:pt idx="1">
                  <c:v>No Votó (31.8%)</c:v>
                </c:pt>
              </c:strCache>
            </c:strRef>
          </c:cat>
          <c:val>
            <c:numRef>
              <c:f>LAPOP1!$CI$7:$CJ$7</c:f>
              <c:numCache>
                <c:formatCode>0.00</c:formatCode>
                <c:ptCount val="2"/>
                <c:pt idx="0">
                  <c:v>3.020833333333333</c:v>
                </c:pt>
                <c:pt idx="1">
                  <c:v>2.9082774049217</c:v>
                </c:pt>
              </c:numCache>
            </c:numRef>
          </c:val>
        </c:ser>
        <c:ser>
          <c:idx val="4"/>
          <c:order val="4"/>
          <c:tx>
            <c:strRef>
              <c:f>LAPOP1!$CH$8</c:f>
              <c:strCache>
                <c:ptCount val="1"/>
                <c:pt idx="0">
                  <c:v>Muy en desacuerdo</c:v>
                </c:pt>
              </c:strCache>
            </c:strRef>
          </c:tx>
          <c:invertIfNegative val="0"/>
          <c:dLbls>
            <c:numFmt formatCode="#,##0.0" sourceLinked="0"/>
            <c:showLegendKey val="0"/>
            <c:showVal val="1"/>
            <c:showCatName val="0"/>
            <c:showSerName val="0"/>
            <c:showPercent val="0"/>
            <c:showBubbleSize val="0"/>
            <c:showLeaderLines val="0"/>
          </c:dLbls>
          <c:cat>
            <c:strRef>
              <c:f>LAPOP1!$CI$3:$CJ$3</c:f>
              <c:strCache>
                <c:ptCount val="2"/>
                <c:pt idx="0">
                  <c:v>Sí Votó (68.2%)</c:v>
                </c:pt>
                <c:pt idx="1">
                  <c:v>No Votó (31.8%)</c:v>
                </c:pt>
              </c:strCache>
            </c:strRef>
          </c:cat>
          <c:val>
            <c:numRef>
              <c:f>LAPOP1!$CI$8:$CJ$8</c:f>
              <c:numCache>
                <c:formatCode>0.00</c:formatCode>
                <c:ptCount val="2"/>
                <c:pt idx="0">
                  <c:v>0.9375</c:v>
                </c:pt>
                <c:pt idx="1">
                  <c:v>1.118568232662192</c:v>
                </c:pt>
              </c:numCache>
            </c:numRef>
          </c:val>
        </c:ser>
        <c:dLbls>
          <c:showLegendKey val="0"/>
          <c:showVal val="1"/>
          <c:showCatName val="0"/>
          <c:showSerName val="0"/>
          <c:showPercent val="0"/>
          <c:showBubbleSize val="0"/>
        </c:dLbls>
        <c:gapWidth val="75"/>
        <c:axId val="1500494536"/>
        <c:axId val="1567801928"/>
      </c:barChart>
      <c:catAx>
        <c:axId val="1500494536"/>
        <c:scaling>
          <c:orientation val="minMax"/>
        </c:scaling>
        <c:delete val="0"/>
        <c:axPos val="b"/>
        <c:majorTickMark val="none"/>
        <c:minorTickMark val="none"/>
        <c:tickLblPos val="nextTo"/>
        <c:crossAx val="1567801928"/>
        <c:crosses val="autoZero"/>
        <c:auto val="1"/>
        <c:lblAlgn val="ctr"/>
        <c:lblOffset val="100"/>
        <c:noMultiLvlLbl val="0"/>
      </c:catAx>
      <c:valAx>
        <c:axId val="1567801928"/>
        <c:scaling>
          <c:orientation val="minMax"/>
          <c:max val="100.0"/>
        </c:scaling>
        <c:delete val="0"/>
        <c:axPos val="l"/>
        <c:numFmt formatCode="General" sourceLinked="0"/>
        <c:majorTickMark val="none"/>
        <c:minorTickMark val="none"/>
        <c:tickLblPos val="nextTo"/>
        <c:crossAx val="1500494536"/>
        <c:crosses val="autoZero"/>
        <c:crossBetween val="between"/>
      </c:valAx>
    </c:plotArea>
    <c:legend>
      <c:legendPos val="b"/>
      <c:layout>
        <c:manualLayout>
          <c:xMode val="edge"/>
          <c:yMode val="edge"/>
          <c:x val="0.0581054403137735"/>
          <c:y val="0.828009893697424"/>
          <c:w val="0.861312989905305"/>
          <c:h val="0.171990240724792"/>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929536527599322"/>
          <c:y val="0.171573991175113"/>
          <c:w val="0.886590745194508"/>
          <c:h val="0.557823797600908"/>
        </c:manualLayout>
      </c:layout>
      <c:barChart>
        <c:barDir val="col"/>
        <c:grouping val="clustered"/>
        <c:varyColors val="0"/>
        <c:ser>
          <c:idx val="0"/>
          <c:order val="0"/>
          <c:tx>
            <c:strRef>
              <c:f>LAPOP1!$CL$4</c:f>
              <c:strCache>
                <c:ptCount val="1"/>
                <c:pt idx="0">
                  <c:v>Muy de acuerdo</c:v>
                </c:pt>
              </c:strCache>
            </c:strRef>
          </c:tx>
          <c:invertIfNegative val="0"/>
          <c:dLbls>
            <c:numFmt formatCode="#,##0.0" sourceLinked="0"/>
            <c:showLegendKey val="0"/>
            <c:showVal val="1"/>
            <c:showCatName val="0"/>
            <c:showSerName val="0"/>
            <c:showPercent val="0"/>
            <c:showBubbleSize val="0"/>
            <c:showLeaderLines val="0"/>
          </c:dLbls>
          <c:cat>
            <c:strRef>
              <c:f>LAPOP1!$CM$3:$CO$3</c:f>
              <c:strCache>
                <c:ptCount val="3"/>
                <c:pt idx="0">
                  <c:v>Sí Votaría (63.0%)</c:v>
                </c:pt>
                <c:pt idx="1">
                  <c:v>No Votaría (27.1%)</c:v>
                </c:pt>
                <c:pt idx="2">
                  <c:v>Anularía o Dejaría en Blanco (9.9%)</c:v>
                </c:pt>
              </c:strCache>
            </c:strRef>
          </c:cat>
          <c:val>
            <c:numRef>
              <c:f>LAPOP1!$CM$4:$CO$4</c:f>
              <c:numCache>
                <c:formatCode>0.00</c:formatCode>
                <c:ptCount val="3"/>
                <c:pt idx="0">
                  <c:v>21.23655913978495</c:v>
                </c:pt>
                <c:pt idx="1">
                  <c:v>18.4375</c:v>
                </c:pt>
                <c:pt idx="2">
                  <c:v>20.51282051282051</c:v>
                </c:pt>
              </c:numCache>
            </c:numRef>
          </c:val>
        </c:ser>
        <c:ser>
          <c:idx val="1"/>
          <c:order val="1"/>
          <c:tx>
            <c:strRef>
              <c:f>LAPOP1!$CL$5</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LAPOP1!$CM$3:$CO$3</c:f>
              <c:strCache>
                <c:ptCount val="3"/>
                <c:pt idx="0">
                  <c:v>Sí Votaría (63.0%)</c:v>
                </c:pt>
                <c:pt idx="1">
                  <c:v>No Votaría (27.1%)</c:v>
                </c:pt>
                <c:pt idx="2">
                  <c:v>Anularía o Dejaría en Blanco (9.9%)</c:v>
                </c:pt>
              </c:strCache>
            </c:strRef>
          </c:cat>
          <c:val>
            <c:numRef>
              <c:f>LAPOP1!$CM$5:$CO$5</c:f>
              <c:numCache>
                <c:formatCode>0.00</c:formatCode>
                <c:ptCount val="3"/>
                <c:pt idx="0">
                  <c:v>49.59677419354838</c:v>
                </c:pt>
                <c:pt idx="1">
                  <c:v>52.5</c:v>
                </c:pt>
                <c:pt idx="2">
                  <c:v>49.57264957264957</c:v>
                </c:pt>
              </c:numCache>
            </c:numRef>
          </c:val>
        </c:ser>
        <c:ser>
          <c:idx val="2"/>
          <c:order val="2"/>
          <c:tx>
            <c:strRef>
              <c:f>LAPOP1!$CL$6</c:f>
              <c:strCache>
                <c:ptCount val="1"/>
                <c:pt idx="0">
                  <c:v>Ni de acuerdo ni en desacuerdo</c:v>
                </c:pt>
              </c:strCache>
            </c:strRef>
          </c:tx>
          <c:invertIfNegative val="0"/>
          <c:dLbls>
            <c:numFmt formatCode="#,##0.0" sourceLinked="0"/>
            <c:showLegendKey val="0"/>
            <c:showVal val="1"/>
            <c:showCatName val="0"/>
            <c:showSerName val="0"/>
            <c:showPercent val="0"/>
            <c:showBubbleSize val="0"/>
            <c:showLeaderLines val="0"/>
          </c:dLbls>
          <c:cat>
            <c:strRef>
              <c:f>LAPOP1!$CM$3:$CO$3</c:f>
              <c:strCache>
                <c:ptCount val="3"/>
                <c:pt idx="0">
                  <c:v>Sí Votaría (63.0%)</c:v>
                </c:pt>
                <c:pt idx="1">
                  <c:v>No Votaría (27.1%)</c:v>
                </c:pt>
                <c:pt idx="2">
                  <c:v>Anularía o Dejaría en Blanco (9.9%)</c:v>
                </c:pt>
              </c:strCache>
            </c:strRef>
          </c:cat>
          <c:val>
            <c:numRef>
              <c:f>LAPOP1!$CM$6:$CO$6</c:f>
              <c:numCache>
                <c:formatCode>0.00</c:formatCode>
                <c:ptCount val="3"/>
                <c:pt idx="0">
                  <c:v>25.40322580645161</c:v>
                </c:pt>
                <c:pt idx="1">
                  <c:v>25.625</c:v>
                </c:pt>
                <c:pt idx="2">
                  <c:v>24.78632478632479</c:v>
                </c:pt>
              </c:numCache>
            </c:numRef>
          </c:val>
        </c:ser>
        <c:ser>
          <c:idx val="3"/>
          <c:order val="3"/>
          <c:tx>
            <c:strRef>
              <c:f>LAPOP1!$CL$7</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LAPOP1!$CM$3:$CO$3</c:f>
              <c:strCache>
                <c:ptCount val="3"/>
                <c:pt idx="0">
                  <c:v>Sí Votaría (63.0%)</c:v>
                </c:pt>
                <c:pt idx="1">
                  <c:v>No Votaría (27.1%)</c:v>
                </c:pt>
                <c:pt idx="2">
                  <c:v>Anularía o Dejaría en Blanco (9.9%)</c:v>
                </c:pt>
              </c:strCache>
            </c:strRef>
          </c:cat>
          <c:val>
            <c:numRef>
              <c:f>LAPOP1!$CM$7:$CO$7</c:f>
              <c:numCache>
                <c:formatCode>0.00</c:formatCode>
                <c:ptCount val="3"/>
                <c:pt idx="0">
                  <c:v>2.82258064516129</c:v>
                </c:pt>
                <c:pt idx="1">
                  <c:v>2.5</c:v>
                </c:pt>
                <c:pt idx="2">
                  <c:v>4.273504273504273</c:v>
                </c:pt>
              </c:numCache>
            </c:numRef>
          </c:val>
        </c:ser>
        <c:ser>
          <c:idx val="4"/>
          <c:order val="4"/>
          <c:tx>
            <c:strRef>
              <c:f>LAPOP1!$CL$8</c:f>
              <c:strCache>
                <c:ptCount val="1"/>
                <c:pt idx="0">
                  <c:v>Muy en desacuerdo</c:v>
                </c:pt>
              </c:strCache>
            </c:strRef>
          </c:tx>
          <c:invertIfNegative val="0"/>
          <c:dLbls>
            <c:numFmt formatCode="#,##0.0" sourceLinked="0"/>
            <c:showLegendKey val="0"/>
            <c:showVal val="1"/>
            <c:showCatName val="0"/>
            <c:showSerName val="0"/>
            <c:showPercent val="0"/>
            <c:showBubbleSize val="0"/>
            <c:showLeaderLines val="0"/>
          </c:dLbls>
          <c:cat>
            <c:strRef>
              <c:f>LAPOP1!$CM$3:$CO$3</c:f>
              <c:strCache>
                <c:ptCount val="3"/>
                <c:pt idx="0">
                  <c:v>Sí Votaría (63.0%)</c:v>
                </c:pt>
                <c:pt idx="1">
                  <c:v>No Votaría (27.1%)</c:v>
                </c:pt>
                <c:pt idx="2">
                  <c:v>Anularía o Dejaría en Blanco (9.9%)</c:v>
                </c:pt>
              </c:strCache>
            </c:strRef>
          </c:cat>
          <c:val>
            <c:numRef>
              <c:f>LAPOP1!$CM$8:$CO$8</c:f>
              <c:numCache>
                <c:formatCode>0.00</c:formatCode>
                <c:ptCount val="3"/>
                <c:pt idx="0">
                  <c:v>0.940860215053763</c:v>
                </c:pt>
                <c:pt idx="1">
                  <c:v>0.9375</c:v>
                </c:pt>
                <c:pt idx="2">
                  <c:v>0.854700854700855</c:v>
                </c:pt>
              </c:numCache>
            </c:numRef>
          </c:val>
        </c:ser>
        <c:dLbls>
          <c:showLegendKey val="0"/>
          <c:showVal val="1"/>
          <c:showCatName val="0"/>
          <c:showSerName val="0"/>
          <c:showPercent val="0"/>
          <c:showBubbleSize val="0"/>
        </c:dLbls>
        <c:gapWidth val="75"/>
        <c:axId val="1499497880"/>
        <c:axId val="1499500792"/>
      </c:barChart>
      <c:catAx>
        <c:axId val="1499497880"/>
        <c:scaling>
          <c:orientation val="minMax"/>
        </c:scaling>
        <c:delete val="0"/>
        <c:axPos val="b"/>
        <c:majorTickMark val="none"/>
        <c:minorTickMark val="none"/>
        <c:tickLblPos val="nextTo"/>
        <c:crossAx val="1499500792"/>
        <c:crosses val="autoZero"/>
        <c:auto val="1"/>
        <c:lblAlgn val="ctr"/>
        <c:lblOffset val="100"/>
        <c:noMultiLvlLbl val="0"/>
      </c:catAx>
      <c:valAx>
        <c:axId val="1499500792"/>
        <c:scaling>
          <c:orientation val="minMax"/>
          <c:max val="100.0"/>
        </c:scaling>
        <c:delete val="0"/>
        <c:axPos val="l"/>
        <c:numFmt formatCode="General" sourceLinked="0"/>
        <c:majorTickMark val="none"/>
        <c:minorTickMark val="none"/>
        <c:tickLblPos val="nextTo"/>
        <c:crossAx val="1499497880"/>
        <c:crosses val="autoZero"/>
        <c:crossBetween val="between"/>
      </c:valAx>
    </c:plotArea>
    <c:legend>
      <c:legendPos val="b"/>
      <c:layout>
        <c:manualLayout>
          <c:xMode val="edge"/>
          <c:yMode val="edge"/>
          <c:x val="0.0667363650673373"/>
          <c:y val="0.839912859407766"/>
          <c:w val="0.656543263368393"/>
          <c:h val="0.160087035884371"/>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868901096100851"/>
          <c:y val="0.141473000737204"/>
          <c:w val="0.896466339765782"/>
          <c:h val="0.624895828626644"/>
        </c:manualLayout>
      </c:layout>
      <c:barChart>
        <c:barDir val="col"/>
        <c:grouping val="clustered"/>
        <c:varyColors val="0"/>
        <c:ser>
          <c:idx val="0"/>
          <c:order val="0"/>
          <c:tx>
            <c:strRef>
              <c:f>LAPOP1!$BF$4</c:f>
              <c:strCache>
                <c:ptCount val="1"/>
                <c:pt idx="0">
                  <c:v>Muy de acuerdo</c:v>
                </c:pt>
              </c:strCache>
            </c:strRef>
          </c:tx>
          <c:invertIfNegative val="0"/>
          <c:dLbls>
            <c:numFmt formatCode="#,##0.0" sourceLinked="0"/>
            <c:showLegendKey val="0"/>
            <c:showVal val="1"/>
            <c:showCatName val="0"/>
            <c:showSerName val="0"/>
            <c:showPercent val="0"/>
            <c:showBubbleSize val="0"/>
            <c:showLeaderLines val="0"/>
          </c:dLbls>
          <c:cat>
            <c:strRef>
              <c:f>LAPOP1!$BG$3:$BI$3</c:f>
              <c:strCache>
                <c:ptCount val="3"/>
                <c:pt idx="0">
                  <c:v>Baja Confianza (32.7%)</c:v>
                </c:pt>
                <c:pt idx="1">
                  <c:v>Confianza Media (50.0%)</c:v>
                </c:pt>
                <c:pt idx="2">
                  <c:v>Alta Confianza (17.3%)</c:v>
                </c:pt>
              </c:strCache>
            </c:strRef>
          </c:cat>
          <c:val>
            <c:numRef>
              <c:f>LAPOP1!$BG$4:$BI$4</c:f>
              <c:numCache>
                <c:formatCode>0.00</c:formatCode>
                <c:ptCount val="3"/>
                <c:pt idx="0">
                  <c:v>23.88392857142857</c:v>
                </c:pt>
                <c:pt idx="1">
                  <c:v>18.92285298398836</c:v>
                </c:pt>
                <c:pt idx="2">
                  <c:v>14.7679324894515</c:v>
                </c:pt>
              </c:numCache>
            </c:numRef>
          </c:val>
        </c:ser>
        <c:ser>
          <c:idx val="1"/>
          <c:order val="1"/>
          <c:tx>
            <c:strRef>
              <c:f>LAPOP1!$BF$5</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LAPOP1!$BG$3:$BI$3</c:f>
              <c:strCache>
                <c:ptCount val="3"/>
                <c:pt idx="0">
                  <c:v>Baja Confianza (32.7%)</c:v>
                </c:pt>
                <c:pt idx="1">
                  <c:v>Confianza Media (50.0%)</c:v>
                </c:pt>
                <c:pt idx="2">
                  <c:v>Alta Confianza (17.3%)</c:v>
                </c:pt>
              </c:strCache>
            </c:strRef>
          </c:cat>
          <c:val>
            <c:numRef>
              <c:f>LAPOP1!$BG$5:$BI$5</c:f>
              <c:numCache>
                <c:formatCode>0.00</c:formatCode>
                <c:ptCount val="3"/>
                <c:pt idx="0">
                  <c:v>48.21428571428572</c:v>
                </c:pt>
                <c:pt idx="1">
                  <c:v>50.509461426492</c:v>
                </c:pt>
                <c:pt idx="2">
                  <c:v>54.43037974683544</c:v>
                </c:pt>
              </c:numCache>
            </c:numRef>
          </c:val>
        </c:ser>
        <c:ser>
          <c:idx val="2"/>
          <c:order val="2"/>
          <c:tx>
            <c:strRef>
              <c:f>LAPOP1!$BF$6</c:f>
              <c:strCache>
                <c:ptCount val="1"/>
                <c:pt idx="0">
                  <c:v>Ni de acuerdo ni en desacuerdo</c:v>
                </c:pt>
              </c:strCache>
            </c:strRef>
          </c:tx>
          <c:invertIfNegative val="0"/>
          <c:dLbls>
            <c:numFmt formatCode="#,##0.0" sourceLinked="0"/>
            <c:showLegendKey val="0"/>
            <c:showVal val="1"/>
            <c:showCatName val="0"/>
            <c:showSerName val="0"/>
            <c:showPercent val="0"/>
            <c:showBubbleSize val="0"/>
            <c:showLeaderLines val="0"/>
          </c:dLbls>
          <c:cat>
            <c:strRef>
              <c:f>LAPOP1!$BG$3:$BI$3</c:f>
              <c:strCache>
                <c:ptCount val="3"/>
                <c:pt idx="0">
                  <c:v>Baja Confianza (32.7%)</c:v>
                </c:pt>
                <c:pt idx="1">
                  <c:v>Confianza Media (50.0%)</c:v>
                </c:pt>
                <c:pt idx="2">
                  <c:v>Alta Confianza (17.3%)</c:v>
                </c:pt>
              </c:strCache>
            </c:strRef>
          </c:cat>
          <c:val>
            <c:numRef>
              <c:f>LAPOP1!$BG$6:$BI$6</c:f>
              <c:numCache>
                <c:formatCode>0.00</c:formatCode>
                <c:ptCount val="3"/>
                <c:pt idx="0">
                  <c:v>22.54464285714286</c:v>
                </c:pt>
                <c:pt idx="1">
                  <c:v>27.2197962154294</c:v>
                </c:pt>
                <c:pt idx="2">
                  <c:v>27.42616033755274</c:v>
                </c:pt>
              </c:numCache>
            </c:numRef>
          </c:val>
        </c:ser>
        <c:ser>
          <c:idx val="3"/>
          <c:order val="3"/>
          <c:tx>
            <c:strRef>
              <c:f>LAPOP1!$BF$7</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LAPOP1!$BG$3:$BI$3</c:f>
              <c:strCache>
                <c:ptCount val="3"/>
                <c:pt idx="0">
                  <c:v>Baja Confianza (32.7%)</c:v>
                </c:pt>
                <c:pt idx="1">
                  <c:v>Confianza Media (50.0%)</c:v>
                </c:pt>
                <c:pt idx="2">
                  <c:v>Alta Confianza (17.3%)</c:v>
                </c:pt>
              </c:strCache>
            </c:strRef>
          </c:cat>
          <c:val>
            <c:numRef>
              <c:f>LAPOP1!$BG$7:$BI$7</c:f>
              <c:numCache>
                <c:formatCode>0.00</c:formatCode>
                <c:ptCount val="3"/>
                <c:pt idx="0">
                  <c:v>4.241071428571428</c:v>
                </c:pt>
                <c:pt idx="1">
                  <c:v>2.037845705967977</c:v>
                </c:pt>
                <c:pt idx="2">
                  <c:v>3.375527426160337</c:v>
                </c:pt>
              </c:numCache>
            </c:numRef>
          </c:val>
        </c:ser>
        <c:ser>
          <c:idx val="4"/>
          <c:order val="4"/>
          <c:tx>
            <c:strRef>
              <c:f>LAPOP1!$BF$8</c:f>
              <c:strCache>
                <c:ptCount val="1"/>
                <c:pt idx="0">
                  <c:v>Muy en desacuerdo</c:v>
                </c:pt>
              </c:strCache>
            </c:strRef>
          </c:tx>
          <c:invertIfNegative val="0"/>
          <c:dLbls>
            <c:numFmt formatCode="#,##0.0" sourceLinked="0"/>
            <c:showLegendKey val="0"/>
            <c:showVal val="1"/>
            <c:showCatName val="0"/>
            <c:showSerName val="0"/>
            <c:showPercent val="0"/>
            <c:showBubbleSize val="0"/>
            <c:showLeaderLines val="0"/>
          </c:dLbls>
          <c:cat>
            <c:strRef>
              <c:f>LAPOP1!$BG$3:$BI$3</c:f>
              <c:strCache>
                <c:ptCount val="3"/>
                <c:pt idx="0">
                  <c:v>Baja Confianza (32.7%)</c:v>
                </c:pt>
                <c:pt idx="1">
                  <c:v>Confianza Media (50.0%)</c:v>
                </c:pt>
                <c:pt idx="2">
                  <c:v>Alta Confianza (17.3%)</c:v>
                </c:pt>
              </c:strCache>
            </c:strRef>
          </c:cat>
          <c:val>
            <c:numRef>
              <c:f>LAPOP1!$BG$8:$BI$8</c:f>
              <c:numCache>
                <c:formatCode>0.00</c:formatCode>
                <c:ptCount val="3"/>
                <c:pt idx="0">
                  <c:v>1.116071428571429</c:v>
                </c:pt>
                <c:pt idx="1">
                  <c:v>1.310043668122271</c:v>
                </c:pt>
                <c:pt idx="2">
                  <c:v>0.0</c:v>
                </c:pt>
              </c:numCache>
            </c:numRef>
          </c:val>
        </c:ser>
        <c:dLbls>
          <c:showLegendKey val="0"/>
          <c:showVal val="1"/>
          <c:showCatName val="0"/>
          <c:showSerName val="0"/>
          <c:showPercent val="0"/>
          <c:showBubbleSize val="0"/>
        </c:dLbls>
        <c:gapWidth val="75"/>
        <c:axId val="1500429576"/>
        <c:axId val="1500409688"/>
      </c:barChart>
      <c:catAx>
        <c:axId val="1500429576"/>
        <c:scaling>
          <c:orientation val="minMax"/>
        </c:scaling>
        <c:delete val="0"/>
        <c:axPos val="b"/>
        <c:majorTickMark val="none"/>
        <c:minorTickMark val="none"/>
        <c:tickLblPos val="nextTo"/>
        <c:crossAx val="1500409688"/>
        <c:crosses val="autoZero"/>
        <c:auto val="1"/>
        <c:lblAlgn val="ctr"/>
        <c:lblOffset val="100"/>
        <c:noMultiLvlLbl val="0"/>
      </c:catAx>
      <c:valAx>
        <c:axId val="1500409688"/>
        <c:scaling>
          <c:orientation val="minMax"/>
          <c:max val="100.0"/>
        </c:scaling>
        <c:delete val="0"/>
        <c:axPos val="l"/>
        <c:numFmt formatCode="General" sourceLinked="0"/>
        <c:majorTickMark val="none"/>
        <c:minorTickMark val="none"/>
        <c:tickLblPos val="nextTo"/>
        <c:crossAx val="1500429576"/>
        <c:crosses val="autoZero"/>
        <c:crossBetween val="between"/>
      </c:valAx>
    </c:plotArea>
    <c:legend>
      <c:legendPos val="b"/>
      <c:layout>
        <c:manualLayout>
          <c:xMode val="edge"/>
          <c:yMode val="edge"/>
          <c:x val="0.0703420810262795"/>
          <c:y val="0.84324385971822"/>
          <c:w val="0.899999937901564"/>
          <c:h val="0.0531502049374773"/>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977494928062709"/>
          <c:y val="0.170088819694532"/>
          <c:w val="0.880300394442112"/>
          <c:h val="0.566831921016878"/>
        </c:manualLayout>
      </c:layout>
      <c:barChart>
        <c:barDir val="col"/>
        <c:grouping val="clustered"/>
        <c:varyColors val="0"/>
        <c:ser>
          <c:idx val="0"/>
          <c:order val="0"/>
          <c:tx>
            <c:strRef>
              <c:f>LAPOP1!$AH$4</c:f>
              <c:strCache>
                <c:ptCount val="1"/>
                <c:pt idx="0">
                  <c:v>Muy de acuerdo</c:v>
                </c:pt>
              </c:strCache>
            </c:strRef>
          </c:tx>
          <c:invertIfNegative val="0"/>
          <c:dLbls>
            <c:numFmt formatCode="#,##0.0" sourceLinked="0"/>
            <c:showLegendKey val="0"/>
            <c:showVal val="1"/>
            <c:showCatName val="0"/>
            <c:showSerName val="0"/>
            <c:showPercent val="0"/>
            <c:showBubbleSize val="0"/>
            <c:showLeaderLines val="0"/>
          </c:dLbls>
          <c:cat>
            <c:strRef>
              <c:f>LAPOP1!$AI$3:$AK$3</c:f>
              <c:strCache>
                <c:ptCount val="3"/>
                <c:pt idx="0">
                  <c:v>Liberal (27.9%)</c:v>
                </c:pt>
                <c:pt idx="1">
                  <c:v>Moderado (55.0%)</c:v>
                </c:pt>
                <c:pt idx="2">
                  <c:v>Conservador (17.1%)</c:v>
                </c:pt>
              </c:strCache>
            </c:strRef>
          </c:cat>
          <c:val>
            <c:numRef>
              <c:f>LAPOP1!$AI$4:$AK$4</c:f>
              <c:numCache>
                <c:formatCode>0.00</c:formatCode>
                <c:ptCount val="3"/>
                <c:pt idx="0">
                  <c:v>26.76470588235294</c:v>
                </c:pt>
                <c:pt idx="1">
                  <c:v>17.46268656716418</c:v>
                </c:pt>
                <c:pt idx="2">
                  <c:v>16.34615384615385</c:v>
                </c:pt>
              </c:numCache>
            </c:numRef>
          </c:val>
        </c:ser>
        <c:ser>
          <c:idx val="1"/>
          <c:order val="1"/>
          <c:tx>
            <c:strRef>
              <c:f>LAPOP1!$AH$5</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LAPOP1!$AI$3:$AK$3</c:f>
              <c:strCache>
                <c:ptCount val="3"/>
                <c:pt idx="0">
                  <c:v>Liberal (27.9%)</c:v>
                </c:pt>
                <c:pt idx="1">
                  <c:v>Moderado (55.0%)</c:v>
                </c:pt>
                <c:pt idx="2">
                  <c:v>Conservador (17.1%)</c:v>
                </c:pt>
              </c:strCache>
            </c:strRef>
          </c:cat>
          <c:val>
            <c:numRef>
              <c:f>LAPOP1!$AI$5:$AK$5</c:f>
              <c:numCache>
                <c:formatCode>0.00</c:formatCode>
                <c:ptCount val="3"/>
                <c:pt idx="0">
                  <c:v>48.8235294117647</c:v>
                </c:pt>
                <c:pt idx="1">
                  <c:v>51.64179104477612</c:v>
                </c:pt>
                <c:pt idx="2">
                  <c:v>53.84615384615384</c:v>
                </c:pt>
              </c:numCache>
            </c:numRef>
          </c:val>
        </c:ser>
        <c:ser>
          <c:idx val="2"/>
          <c:order val="2"/>
          <c:tx>
            <c:strRef>
              <c:f>LAPOP1!$AH$6</c:f>
              <c:strCache>
                <c:ptCount val="1"/>
                <c:pt idx="0">
                  <c:v>Ni de acuerdo ni en desacuerdo</c:v>
                </c:pt>
              </c:strCache>
            </c:strRef>
          </c:tx>
          <c:invertIfNegative val="0"/>
          <c:dLbls>
            <c:numFmt formatCode="#,##0.0" sourceLinked="0"/>
            <c:showLegendKey val="0"/>
            <c:showVal val="1"/>
            <c:showCatName val="0"/>
            <c:showSerName val="0"/>
            <c:showPercent val="0"/>
            <c:showBubbleSize val="0"/>
            <c:showLeaderLines val="0"/>
          </c:dLbls>
          <c:cat>
            <c:strRef>
              <c:f>LAPOP1!$AI$3:$AK$3</c:f>
              <c:strCache>
                <c:ptCount val="3"/>
                <c:pt idx="0">
                  <c:v>Liberal (27.9%)</c:v>
                </c:pt>
                <c:pt idx="1">
                  <c:v>Moderado (55.0%)</c:v>
                </c:pt>
                <c:pt idx="2">
                  <c:v>Conservador (17.1%)</c:v>
                </c:pt>
              </c:strCache>
            </c:strRef>
          </c:cat>
          <c:val>
            <c:numRef>
              <c:f>LAPOP1!$AI$6:$AK$6</c:f>
              <c:numCache>
                <c:formatCode>0.00</c:formatCode>
                <c:ptCount val="3"/>
                <c:pt idx="0">
                  <c:v>20.29411764705882</c:v>
                </c:pt>
                <c:pt idx="1">
                  <c:v>27.46268656716418</c:v>
                </c:pt>
                <c:pt idx="2">
                  <c:v>26.44230769230769</c:v>
                </c:pt>
              </c:numCache>
            </c:numRef>
          </c:val>
        </c:ser>
        <c:ser>
          <c:idx val="3"/>
          <c:order val="3"/>
          <c:tx>
            <c:strRef>
              <c:f>LAPOP1!$AH$7</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LAPOP1!$AI$3:$AK$3</c:f>
              <c:strCache>
                <c:ptCount val="3"/>
                <c:pt idx="0">
                  <c:v>Liberal (27.9%)</c:v>
                </c:pt>
                <c:pt idx="1">
                  <c:v>Moderado (55.0%)</c:v>
                </c:pt>
                <c:pt idx="2">
                  <c:v>Conservador (17.1%)</c:v>
                </c:pt>
              </c:strCache>
            </c:strRef>
          </c:cat>
          <c:val>
            <c:numRef>
              <c:f>LAPOP1!$AI$7:$AK$7</c:f>
              <c:numCache>
                <c:formatCode>0.00</c:formatCode>
                <c:ptCount val="3"/>
                <c:pt idx="0">
                  <c:v>3.23529411764706</c:v>
                </c:pt>
                <c:pt idx="1">
                  <c:v>2.686567164179104</c:v>
                </c:pt>
                <c:pt idx="2">
                  <c:v>3.365384615384615</c:v>
                </c:pt>
              </c:numCache>
            </c:numRef>
          </c:val>
        </c:ser>
        <c:ser>
          <c:idx val="4"/>
          <c:order val="4"/>
          <c:tx>
            <c:strRef>
              <c:f>LAPOP1!$AH$8</c:f>
              <c:strCache>
                <c:ptCount val="1"/>
                <c:pt idx="0">
                  <c:v>Muy en desacuerdo</c:v>
                </c:pt>
              </c:strCache>
            </c:strRef>
          </c:tx>
          <c:invertIfNegative val="0"/>
          <c:dLbls>
            <c:numFmt formatCode="#,##0.0" sourceLinked="0"/>
            <c:showLegendKey val="0"/>
            <c:showVal val="1"/>
            <c:showCatName val="0"/>
            <c:showSerName val="0"/>
            <c:showPercent val="0"/>
            <c:showBubbleSize val="0"/>
            <c:showLeaderLines val="0"/>
          </c:dLbls>
          <c:cat>
            <c:strRef>
              <c:f>LAPOP1!$AI$3:$AK$3</c:f>
              <c:strCache>
                <c:ptCount val="3"/>
                <c:pt idx="0">
                  <c:v>Liberal (27.9%)</c:v>
                </c:pt>
                <c:pt idx="1">
                  <c:v>Moderado (55.0%)</c:v>
                </c:pt>
                <c:pt idx="2">
                  <c:v>Conservador (17.1%)</c:v>
                </c:pt>
              </c:strCache>
            </c:strRef>
          </c:cat>
          <c:val>
            <c:numRef>
              <c:f>LAPOP1!$AI$8:$AK$8</c:f>
              <c:numCache>
                <c:formatCode>0.00</c:formatCode>
                <c:ptCount val="3"/>
                <c:pt idx="0">
                  <c:v>0.882352941176471</c:v>
                </c:pt>
                <c:pt idx="1">
                  <c:v>0.746268656716418</c:v>
                </c:pt>
                <c:pt idx="2">
                  <c:v>0.0</c:v>
                </c:pt>
              </c:numCache>
            </c:numRef>
          </c:val>
        </c:ser>
        <c:dLbls>
          <c:showLegendKey val="0"/>
          <c:showVal val="1"/>
          <c:showCatName val="0"/>
          <c:showSerName val="0"/>
          <c:showPercent val="0"/>
          <c:showBubbleSize val="0"/>
        </c:dLbls>
        <c:gapWidth val="75"/>
        <c:axId val="1500326584"/>
        <c:axId val="1500297464"/>
      </c:barChart>
      <c:catAx>
        <c:axId val="1500326584"/>
        <c:scaling>
          <c:orientation val="minMax"/>
        </c:scaling>
        <c:delete val="0"/>
        <c:axPos val="b"/>
        <c:majorTickMark val="none"/>
        <c:minorTickMark val="none"/>
        <c:tickLblPos val="nextTo"/>
        <c:crossAx val="1500297464"/>
        <c:crosses val="autoZero"/>
        <c:auto val="1"/>
        <c:lblAlgn val="ctr"/>
        <c:lblOffset val="100"/>
        <c:noMultiLvlLbl val="0"/>
      </c:catAx>
      <c:valAx>
        <c:axId val="1500297464"/>
        <c:scaling>
          <c:orientation val="minMax"/>
          <c:max val="100.0"/>
        </c:scaling>
        <c:delete val="0"/>
        <c:axPos val="l"/>
        <c:numFmt formatCode="General" sourceLinked="0"/>
        <c:majorTickMark val="none"/>
        <c:minorTickMark val="none"/>
        <c:tickLblPos val="nextTo"/>
        <c:crossAx val="1500326584"/>
        <c:crosses val="autoZero"/>
        <c:crossBetween val="between"/>
      </c:valAx>
    </c:plotArea>
    <c:legend>
      <c:legendPos val="b"/>
      <c:layout>
        <c:manualLayout>
          <c:xMode val="edge"/>
          <c:yMode val="edge"/>
          <c:x val="0.0739456403965036"/>
          <c:y val="0.820364897948272"/>
          <c:w val="0.89999987430143"/>
          <c:h val="0.0579200650491967"/>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97102704442324"/>
          <c:y val="0.168017023322359"/>
          <c:w val="0.885413852821534"/>
          <c:h val="0.58351744370733"/>
        </c:manualLayout>
      </c:layout>
      <c:barChart>
        <c:barDir val="col"/>
        <c:grouping val="clustered"/>
        <c:varyColors val="0"/>
        <c:ser>
          <c:idx val="0"/>
          <c:order val="0"/>
          <c:tx>
            <c:strRef>
              <c:f>LAPOP1!$CQ$4</c:f>
              <c:strCache>
                <c:ptCount val="1"/>
                <c:pt idx="0">
                  <c:v>Muy de acuerdo</c:v>
                </c:pt>
              </c:strCache>
            </c:strRef>
          </c:tx>
          <c:invertIfNegative val="0"/>
          <c:dLbls>
            <c:numFmt formatCode="#,##0.0" sourceLinked="0"/>
            <c:showLegendKey val="0"/>
            <c:showVal val="1"/>
            <c:showCatName val="0"/>
            <c:showSerName val="0"/>
            <c:showPercent val="0"/>
            <c:showBubbleSize val="0"/>
            <c:showLeaderLines val="0"/>
          </c:dLbls>
          <c:cat>
            <c:strRef>
              <c:f>LAPOP1!$CR$3:$CT$3</c:f>
              <c:strCache>
                <c:ptCount val="3"/>
                <c:pt idx="0">
                  <c:v>Probablemente No Votará (18.1%)</c:v>
                </c:pt>
                <c:pt idx="1">
                  <c:v>Inseguro de Votar (30.0%)</c:v>
                </c:pt>
                <c:pt idx="2">
                  <c:v>Probablemente Votará (51.9%)</c:v>
                </c:pt>
              </c:strCache>
            </c:strRef>
          </c:cat>
          <c:val>
            <c:numRef>
              <c:f>LAPOP1!$CR$4:$CT$4</c:f>
              <c:numCache>
                <c:formatCode>0.00</c:formatCode>
                <c:ptCount val="3"/>
                <c:pt idx="0">
                  <c:v>21.25603864734299</c:v>
                </c:pt>
                <c:pt idx="1">
                  <c:v>15.78947368421053</c:v>
                </c:pt>
                <c:pt idx="2">
                  <c:v>22.97297297297297</c:v>
                </c:pt>
              </c:numCache>
            </c:numRef>
          </c:val>
        </c:ser>
        <c:ser>
          <c:idx val="1"/>
          <c:order val="1"/>
          <c:tx>
            <c:strRef>
              <c:f>LAPOP1!$CQ$5</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LAPOP1!$CR$3:$CT$3</c:f>
              <c:strCache>
                <c:ptCount val="3"/>
                <c:pt idx="0">
                  <c:v>Probablemente No Votará (18.1%)</c:v>
                </c:pt>
                <c:pt idx="1">
                  <c:v>Inseguro de Votar (30.0%)</c:v>
                </c:pt>
                <c:pt idx="2">
                  <c:v>Probablemente Votará (51.9%)</c:v>
                </c:pt>
              </c:strCache>
            </c:strRef>
          </c:cat>
          <c:val>
            <c:numRef>
              <c:f>LAPOP1!$CR$5:$CT$5</c:f>
              <c:numCache>
                <c:formatCode>0.00</c:formatCode>
                <c:ptCount val="3"/>
                <c:pt idx="0">
                  <c:v>53.6231884057971</c:v>
                </c:pt>
                <c:pt idx="1">
                  <c:v>48.83040935672515</c:v>
                </c:pt>
                <c:pt idx="2">
                  <c:v>50.67567567567568</c:v>
                </c:pt>
              </c:numCache>
            </c:numRef>
          </c:val>
        </c:ser>
        <c:ser>
          <c:idx val="2"/>
          <c:order val="2"/>
          <c:tx>
            <c:strRef>
              <c:f>LAPOP1!$CQ$6</c:f>
              <c:strCache>
                <c:ptCount val="1"/>
                <c:pt idx="0">
                  <c:v>Ni de acuerdo ni en desacuerdo</c:v>
                </c:pt>
              </c:strCache>
            </c:strRef>
          </c:tx>
          <c:invertIfNegative val="0"/>
          <c:dLbls>
            <c:numFmt formatCode="#,##0.0" sourceLinked="0"/>
            <c:showLegendKey val="0"/>
            <c:showVal val="1"/>
            <c:showCatName val="0"/>
            <c:showSerName val="0"/>
            <c:showPercent val="0"/>
            <c:showBubbleSize val="0"/>
            <c:showLeaderLines val="0"/>
          </c:dLbls>
          <c:cat>
            <c:strRef>
              <c:f>LAPOP1!$CR$3:$CT$3</c:f>
              <c:strCache>
                <c:ptCount val="3"/>
                <c:pt idx="0">
                  <c:v>Probablemente No Votará (18.1%)</c:v>
                </c:pt>
                <c:pt idx="1">
                  <c:v>Inseguro de Votar (30.0%)</c:v>
                </c:pt>
                <c:pt idx="2">
                  <c:v>Probablemente Votará (51.9%)</c:v>
                </c:pt>
              </c:strCache>
            </c:strRef>
          </c:cat>
          <c:val>
            <c:numRef>
              <c:f>LAPOP1!$CR$6:$CT$6</c:f>
              <c:numCache>
                <c:formatCode>0.00</c:formatCode>
                <c:ptCount val="3"/>
                <c:pt idx="0">
                  <c:v>20.77294685990338</c:v>
                </c:pt>
                <c:pt idx="1">
                  <c:v>31.57894736842105</c:v>
                </c:pt>
                <c:pt idx="2">
                  <c:v>22.2972972972973</c:v>
                </c:pt>
              </c:numCache>
            </c:numRef>
          </c:val>
        </c:ser>
        <c:ser>
          <c:idx val="3"/>
          <c:order val="3"/>
          <c:tx>
            <c:strRef>
              <c:f>LAPOP1!$CQ$7</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LAPOP1!$CR$3:$CT$3</c:f>
              <c:strCache>
                <c:ptCount val="3"/>
                <c:pt idx="0">
                  <c:v>Probablemente No Votará (18.1%)</c:v>
                </c:pt>
                <c:pt idx="1">
                  <c:v>Inseguro de Votar (30.0%)</c:v>
                </c:pt>
                <c:pt idx="2">
                  <c:v>Probablemente Votará (51.9%)</c:v>
                </c:pt>
              </c:strCache>
            </c:strRef>
          </c:cat>
          <c:val>
            <c:numRef>
              <c:f>LAPOP1!$CR$7:$CT$7</c:f>
              <c:numCache>
                <c:formatCode>0.00</c:formatCode>
                <c:ptCount val="3"/>
                <c:pt idx="0">
                  <c:v>2.898550724637681</c:v>
                </c:pt>
                <c:pt idx="1">
                  <c:v>2.923976608187134</c:v>
                </c:pt>
                <c:pt idx="2">
                  <c:v>3.04054054054054</c:v>
                </c:pt>
              </c:numCache>
            </c:numRef>
          </c:val>
        </c:ser>
        <c:ser>
          <c:idx val="4"/>
          <c:order val="4"/>
          <c:tx>
            <c:strRef>
              <c:f>LAPOP1!$CQ$8</c:f>
              <c:strCache>
                <c:ptCount val="1"/>
                <c:pt idx="0">
                  <c:v>Muy en desacuerdo</c:v>
                </c:pt>
              </c:strCache>
            </c:strRef>
          </c:tx>
          <c:invertIfNegative val="0"/>
          <c:dLbls>
            <c:numFmt formatCode="#,##0.0" sourceLinked="0"/>
            <c:showLegendKey val="0"/>
            <c:showVal val="1"/>
            <c:showCatName val="0"/>
            <c:showSerName val="0"/>
            <c:showPercent val="0"/>
            <c:showBubbleSize val="0"/>
            <c:showLeaderLines val="0"/>
          </c:dLbls>
          <c:cat>
            <c:strRef>
              <c:f>LAPOP1!$CR$3:$CT$3</c:f>
              <c:strCache>
                <c:ptCount val="3"/>
                <c:pt idx="0">
                  <c:v>Probablemente No Votará (18.1%)</c:v>
                </c:pt>
                <c:pt idx="1">
                  <c:v>Inseguro de Votar (30.0%)</c:v>
                </c:pt>
                <c:pt idx="2">
                  <c:v>Probablemente Votará (51.9%)</c:v>
                </c:pt>
              </c:strCache>
            </c:strRef>
          </c:cat>
          <c:val>
            <c:numRef>
              <c:f>LAPOP1!$CR$8:$CT$8</c:f>
              <c:numCache>
                <c:formatCode>0.00</c:formatCode>
                <c:ptCount val="3"/>
                <c:pt idx="0">
                  <c:v>1.449275362318841</c:v>
                </c:pt>
                <c:pt idx="1">
                  <c:v>0.87719298245614</c:v>
                </c:pt>
                <c:pt idx="2">
                  <c:v>1.013513513513514</c:v>
                </c:pt>
              </c:numCache>
            </c:numRef>
          </c:val>
        </c:ser>
        <c:dLbls>
          <c:showLegendKey val="0"/>
          <c:showVal val="1"/>
          <c:showCatName val="0"/>
          <c:showSerName val="0"/>
          <c:showPercent val="0"/>
          <c:showBubbleSize val="0"/>
        </c:dLbls>
        <c:gapWidth val="75"/>
        <c:axId val="1499696904"/>
        <c:axId val="1500221032"/>
      </c:barChart>
      <c:catAx>
        <c:axId val="1499696904"/>
        <c:scaling>
          <c:orientation val="minMax"/>
        </c:scaling>
        <c:delete val="0"/>
        <c:axPos val="b"/>
        <c:majorTickMark val="none"/>
        <c:minorTickMark val="none"/>
        <c:tickLblPos val="nextTo"/>
        <c:crossAx val="1500221032"/>
        <c:crosses val="autoZero"/>
        <c:auto val="1"/>
        <c:lblAlgn val="ctr"/>
        <c:lblOffset val="100"/>
        <c:noMultiLvlLbl val="0"/>
      </c:catAx>
      <c:valAx>
        <c:axId val="1500221032"/>
        <c:scaling>
          <c:orientation val="minMax"/>
          <c:max val="100.0"/>
        </c:scaling>
        <c:delete val="0"/>
        <c:axPos val="l"/>
        <c:numFmt formatCode="General" sourceLinked="0"/>
        <c:majorTickMark val="none"/>
        <c:minorTickMark val="none"/>
        <c:tickLblPos val="nextTo"/>
        <c:crossAx val="1499696904"/>
        <c:crosses val="autoZero"/>
        <c:crossBetween val="between"/>
      </c:valAx>
    </c:plotArea>
    <c:legend>
      <c:legendPos val="b"/>
      <c:layout>
        <c:manualLayout>
          <c:xMode val="edge"/>
          <c:yMode val="edge"/>
          <c:x val="0.0597130696306022"/>
          <c:y val="0.849515931586575"/>
          <c:w val="0.899999908223398"/>
          <c:h val="0.0631617075358235"/>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902889937311592"/>
          <c:y val="0.190289442986293"/>
          <c:w val="0.888113505456809"/>
          <c:h val="0.542587214482861"/>
        </c:manualLayout>
      </c:layout>
      <c:barChart>
        <c:barDir val="col"/>
        <c:grouping val="clustered"/>
        <c:varyColors val="0"/>
        <c:ser>
          <c:idx val="0"/>
          <c:order val="0"/>
          <c:tx>
            <c:strRef>
              <c:f>LAPOP1!$Y$4</c:f>
              <c:strCache>
                <c:ptCount val="1"/>
                <c:pt idx="0">
                  <c:v>Muy de acuerdo</c:v>
                </c:pt>
              </c:strCache>
            </c:strRef>
          </c:tx>
          <c:invertIfNegative val="0"/>
          <c:dLbls>
            <c:numFmt formatCode="#,##0.0" sourceLinked="0"/>
            <c:showLegendKey val="0"/>
            <c:showVal val="1"/>
            <c:showCatName val="0"/>
            <c:showSerName val="0"/>
            <c:showPercent val="0"/>
            <c:showBubbleSize val="0"/>
            <c:showLeaderLines val="0"/>
          </c:dLbls>
          <c:cat>
            <c:strRef>
              <c:f>LAPOP1!$Z$3:$AA$3</c:f>
              <c:strCache>
                <c:ptCount val="2"/>
                <c:pt idx="0">
                  <c:v>Sí pertenece a algún pueblo (5.6%)</c:v>
                </c:pt>
                <c:pt idx="1">
                  <c:v>No pertenece a ningún pueblo (94.4%)</c:v>
                </c:pt>
              </c:strCache>
            </c:strRef>
          </c:cat>
          <c:val>
            <c:numRef>
              <c:f>LAPOP1!$Z$4:$AA$4</c:f>
              <c:numCache>
                <c:formatCode>0.00</c:formatCode>
                <c:ptCount val="2"/>
                <c:pt idx="0">
                  <c:v>34.61538461538461</c:v>
                </c:pt>
                <c:pt idx="1">
                  <c:v>19.16666666666667</c:v>
                </c:pt>
              </c:numCache>
            </c:numRef>
          </c:val>
        </c:ser>
        <c:ser>
          <c:idx val="1"/>
          <c:order val="1"/>
          <c:tx>
            <c:strRef>
              <c:f>LAPOP1!$Y$5</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LAPOP1!$Z$3:$AA$3</c:f>
              <c:strCache>
                <c:ptCount val="2"/>
                <c:pt idx="0">
                  <c:v>Sí pertenece a algún pueblo (5.6%)</c:v>
                </c:pt>
                <c:pt idx="1">
                  <c:v>No pertenece a ningún pueblo (94.4%)</c:v>
                </c:pt>
              </c:strCache>
            </c:strRef>
          </c:cat>
          <c:val>
            <c:numRef>
              <c:f>LAPOP1!$Z$5:$AA$5</c:f>
              <c:numCache>
                <c:formatCode>0.00</c:formatCode>
                <c:ptCount val="2"/>
                <c:pt idx="0">
                  <c:v>39.74358974358974</c:v>
                </c:pt>
                <c:pt idx="1">
                  <c:v>50.98484848484849</c:v>
                </c:pt>
              </c:numCache>
            </c:numRef>
          </c:val>
        </c:ser>
        <c:ser>
          <c:idx val="2"/>
          <c:order val="2"/>
          <c:tx>
            <c:strRef>
              <c:f>LAPOP1!$Y$6</c:f>
              <c:strCache>
                <c:ptCount val="1"/>
                <c:pt idx="0">
                  <c:v>Ni de acuerdo ni en desacuerdo</c:v>
                </c:pt>
              </c:strCache>
            </c:strRef>
          </c:tx>
          <c:invertIfNegative val="0"/>
          <c:dLbls>
            <c:numFmt formatCode="#,##0.0" sourceLinked="0"/>
            <c:showLegendKey val="0"/>
            <c:showVal val="1"/>
            <c:showCatName val="0"/>
            <c:showSerName val="0"/>
            <c:showPercent val="0"/>
            <c:showBubbleSize val="0"/>
            <c:showLeaderLines val="0"/>
          </c:dLbls>
          <c:cat>
            <c:strRef>
              <c:f>LAPOP1!$Z$3:$AA$3</c:f>
              <c:strCache>
                <c:ptCount val="2"/>
                <c:pt idx="0">
                  <c:v>Sí pertenece a algún pueblo (5.6%)</c:v>
                </c:pt>
                <c:pt idx="1">
                  <c:v>No pertenece a ningún pueblo (94.4%)</c:v>
                </c:pt>
              </c:strCache>
            </c:strRef>
          </c:cat>
          <c:val>
            <c:numRef>
              <c:f>LAPOP1!$Z$6:$AA$6</c:f>
              <c:numCache>
                <c:formatCode>0.00</c:formatCode>
                <c:ptCount val="2"/>
                <c:pt idx="0">
                  <c:v>24.35897435897436</c:v>
                </c:pt>
                <c:pt idx="1">
                  <c:v>25.75757575757576</c:v>
                </c:pt>
              </c:numCache>
            </c:numRef>
          </c:val>
        </c:ser>
        <c:ser>
          <c:idx val="3"/>
          <c:order val="3"/>
          <c:tx>
            <c:strRef>
              <c:f>LAPOP1!$Y$7</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LAPOP1!$Z$3:$AA$3</c:f>
              <c:strCache>
                <c:ptCount val="2"/>
                <c:pt idx="0">
                  <c:v>Sí pertenece a algún pueblo (5.6%)</c:v>
                </c:pt>
                <c:pt idx="1">
                  <c:v>No pertenece a ningún pueblo (94.4%)</c:v>
                </c:pt>
              </c:strCache>
            </c:strRef>
          </c:cat>
          <c:val>
            <c:numRef>
              <c:f>LAPOP1!$Z$7:$AA$7</c:f>
              <c:numCache>
                <c:formatCode>0.00</c:formatCode>
                <c:ptCount val="2"/>
                <c:pt idx="0">
                  <c:v>1.282051282051282</c:v>
                </c:pt>
                <c:pt idx="1">
                  <c:v>3.03030303030303</c:v>
                </c:pt>
              </c:numCache>
            </c:numRef>
          </c:val>
        </c:ser>
        <c:ser>
          <c:idx val="4"/>
          <c:order val="4"/>
          <c:tx>
            <c:strRef>
              <c:f>LAPOP1!$Y$8</c:f>
              <c:strCache>
                <c:ptCount val="1"/>
                <c:pt idx="0">
                  <c:v>Muy en desacuerdo</c:v>
                </c:pt>
              </c:strCache>
            </c:strRef>
          </c:tx>
          <c:invertIfNegative val="0"/>
          <c:dLbls>
            <c:numFmt formatCode="#,##0.0" sourceLinked="0"/>
            <c:showLegendKey val="0"/>
            <c:showVal val="1"/>
            <c:showCatName val="0"/>
            <c:showSerName val="0"/>
            <c:showPercent val="0"/>
            <c:showBubbleSize val="0"/>
            <c:showLeaderLines val="0"/>
          </c:dLbls>
          <c:cat>
            <c:strRef>
              <c:f>LAPOP1!$Z$3:$AA$3</c:f>
              <c:strCache>
                <c:ptCount val="2"/>
                <c:pt idx="0">
                  <c:v>Sí pertenece a algún pueblo (5.6%)</c:v>
                </c:pt>
                <c:pt idx="1">
                  <c:v>No pertenece a ningún pueblo (94.4%)</c:v>
                </c:pt>
              </c:strCache>
            </c:strRef>
          </c:cat>
          <c:val>
            <c:numRef>
              <c:f>LAPOP1!$Z$8:$AA$8</c:f>
              <c:numCache>
                <c:formatCode>0.00</c:formatCode>
                <c:ptCount val="2"/>
                <c:pt idx="0">
                  <c:v>0.0</c:v>
                </c:pt>
                <c:pt idx="1">
                  <c:v>1.060606060606061</c:v>
                </c:pt>
              </c:numCache>
            </c:numRef>
          </c:val>
        </c:ser>
        <c:dLbls>
          <c:showLegendKey val="0"/>
          <c:showVal val="1"/>
          <c:showCatName val="0"/>
          <c:showSerName val="0"/>
          <c:showPercent val="0"/>
          <c:showBubbleSize val="0"/>
        </c:dLbls>
        <c:gapWidth val="75"/>
        <c:axId val="1564269320"/>
        <c:axId val="1564270920"/>
      </c:barChart>
      <c:catAx>
        <c:axId val="1564269320"/>
        <c:scaling>
          <c:orientation val="minMax"/>
        </c:scaling>
        <c:delete val="0"/>
        <c:axPos val="b"/>
        <c:majorTickMark val="none"/>
        <c:minorTickMark val="none"/>
        <c:tickLblPos val="nextTo"/>
        <c:crossAx val="1564270920"/>
        <c:crosses val="autoZero"/>
        <c:auto val="1"/>
        <c:lblAlgn val="ctr"/>
        <c:lblOffset val="100"/>
        <c:noMultiLvlLbl val="0"/>
      </c:catAx>
      <c:valAx>
        <c:axId val="1564270920"/>
        <c:scaling>
          <c:orientation val="minMax"/>
          <c:max val="100.0"/>
        </c:scaling>
        <c:delete val="0"/>
        <c:axPos val="l"/>
        <c:numFmt formatCode="General" sourceLinked="0"/>
        <c:majorTickMark val="none"/>
        <c:minorTickMark val="none"/>
        <c:tickLblPos val="nextTo"/>
        <c:crossAx val="1564269320"/>
        <c:crosses val="autoZero"/>
        <c:crossBetween val="between"/>
      </c:valAx>
    </c:plotArea>
    <c:legend>
      <c:legendPos val="b"/>
      <c:layout>
        <c:manualLayout>
          <c:xMode val="edge"/>
          <c:yMode val="edge"/>
          <c:x val="0.053926810599503"/>
          <c:y val="0.844435841781417"/>
          <c:w val="0.899999860860768"/>
          <c:h val="0.0597467955297025"/>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56187342071626"/>
          <c:y val="0.142314364927345"/>
          <c:w val="0.915252636110025"/>
          <c:h val="0.561433392072144"/>
        </c:manualLayout>
      </c:layout>
      <c:barChart>
        <c:barDir val="col"/>
        <c:grouping val="clustered"/>
        <c:varyColors val="0"/>
        <c:ser>
          <c:idx val="0"/>
          <c:order val="0"/>
          <c:tx>
            <c:strRef>
              <c:f>LAPOP1!$AM$37</c:f>
              <c:strCache>
                <c:ptCount val="1"/>
                <c:pt idx="0">
                  <c:v>Muy de acuerdo</c:v>
                </c:pt>
              </c:strCache>
            </c:strRef>
          </c:tx>
          <c:invertIfNegative val="0"/>
          <c:dLbls>
            <c:dLbl>
              <c:idx val="0"/>
              <c:numFmt formatCode="#,##0.0" sourceLinked="0"/>
              <c:spPr/>
              <c:txPr>
                <a:bodyPr/>
                <a:lstStyle/>
                <a:p>
                  <a:pPr>
                    <a:defRPr/>
                  </a:pPr>
                  <a:endParaRPr lang="es-ES"/>
                </a:p>
              </c:txPr>
              <c:showLegendKey val="0"/>
              <c:showVal val="1"/>
              <c:showCatName val="0"/>
              <c:showSerName val="0"/>
              <c:showPercent val="0"/>
              <c:showBubbleSize val="0"/>
            </c:dLbl>
            <c:showLegendKey val="0"/>
            <c:showVal val="1"/>
            <c:showCatName val="0"/>
            <c:showSerName val="0"/>
            <c:showPercent val="0"/>
            <c:showBubbleSize val="0"/>
            <c:showLeaderLines val="0"/>
          </c:dLbls>
          <c:cat>
            <c:strRef>
              <c:f>LAPOP1!$AN$36:$AP$36</c:f>
              <c:strCache>
                <c:ptCount val="3"/>
                <c:pt idx="0">
                  <c:v>En ciertas circunstancias es aceptable un gobierno autoritario (7.9%)</c:v>
                </c:pt>
                <c:pt idx="1">
                  <c:v>Indiferente con el tipo de régimen (18.1%)</c:v>
                </c:pt>
                <c:pt idx="2">
                  <c:v>La democracia es preferible a cualquier otra forma de gobierno (74.0%)</c:v>
                </c:pt>
              </c:strCache>
            </c:strRef>
          </c:cat>
          <c:val>
            <c:numRef>
              <c:f>LAPOP1!$AN$37:$AP$37</c:f>
              <c:numCache>
                <c:formatCode>0.00</c:formatCode>
                <c:ptCount val="3"/>
                <c:pt idx="0">
                  <c:v>15.17</c:v>
                </c:pt>
                <c:pt idx="1">
                  <c:v>14.52</c:v>
                </c:pt>
                <c:pt idx="2">
                  <c:v>21.54</c:v>
                </c:pt>
              </c:numCache>
            </c:numRef>
          </c:val>
        </c:ser>
        <c:ser>
          <c:idx val="1"/>
          <c:order val="1"/>
          <c:tx>
            <c:strRef>
              <c:f>LAPOP1!$AM$38</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LAPOP1!$AN$36:$AP$36</c:f>
              <c:strCache>
                <c:ptCount val="3"/>
                <c:pt idx="0">
                  <c:v>En ciertas circunstancias es aceptable un gobierno autoritario (7.9%)</c:v>
                </c:pt>
                <c:pt idx="1">
                  <c:v>Indiferente con el tipo de régimen (18.1%)</c:v>
                </c:pt>
                <c:pt idx="2">
                  <c:v>La democracia es preferible a cualquier otra forma de gobierno (74.0%)</c:v>
                </c:pt>
              </c:strCache>
            </c:strRef>
          </c:cat>
          <c:val>
            <c:numRef>
              <c:f>LAPOP1!$AN$38:$AP$38</c:f>
              <c:numCache>
                <c:formatCode>0.00</c:formatCode>
                <c:ptCount val="3"/>
                <c:pt idx="0">
                  <c:v>39.35</c:v>
                </c:pt>
                <c:pt idx="1">
                  <c:v>42.9</c:v>
                </c:pt>
                <c:pt idx="2">
                  <c:v>53.24</c:v>
                </c:pt>
              </c:numCache>
            </c:numRef>
          </c:val>
        </c:ser>
        <c:ser>
          <c:idx val="2"/>
          <c:order val="2"/>
          <c:tx>
            <c:strRef>
              <c:f>LAPOP1!$AM$39</c:f>
              <c:strCache>
                <c:ptCount val="1"/>
                <c:pt idx="0">
                  <c:v>Ni de acuerdo ni en desacuerdo</c:v>
                </c:pt>
              </c:strCache>
            </c:strRef>
          </c:tx>
          <c:invertIfNegative val="0"/>
          <c:dLbls>
            <c:numFmt formatCode="#,##0.0" sourceLinked="0"/>
            <c:showLegendKey val="0"/>
            <c:showVal val="1"/>
            <c:showCatName val="0"/>
            <c:showSerName val="0"/>
            <c:showPercent val="0"/>
            <c:showBubbleSize val="0"/>
            <c:showLeaderLines val="0"/>
          </c:dLbls>
          <c:cat>
            <c:strRef>
              <c:f>LAPOP1!$AN$36:$AP$36</c:f>
              <c:strCache>
                <c:ptCount val="3"/>
                <c:pt idx="0">
                  <c:v>En ciertas circunstancias es aceptable un gobierno autoritario (7.9%)</c:v>
                </c:pt>
                <c:pt idx="1">
                  <c:v>Indiferente con el tipo de régimen (18.1%)</c:v>
                </c:pt>
                <c:pt idx="2">
                  <c:v>La democracia es preferible a cualquier otra forma de gobierno (74.0%)</c:v>
                </c:pt>
              </c:strCache>
            </c:strRef>
          </c:cat>
          <c:val>
            <c:numRef>
              <c:f>LAPOP1!$AN$39:$AP$39</c:f>
              <c:numCache>
                <c:formatCode>0.00</c:formatCode>
                <c:ptCount val="3"/>
                <c:pt idx="0">
                  <c:v>40.11</c:v>
                </c:pt>
                <c:pt idx="1">
                  <c:v>36.28</c:v>
                </c:pt>
                <c:pt idx="2">
                  <c:v>21.94</c:v>
                </c:pt>
              </c:numCache>
            </c:numRef>
          </c:val>
        </c:ser>
        <c:ser>
          <c:idx val="3"/>
          <c:order val="3"/>
          <c:tx>
            <c:strRef>
              <c:f>LAPOP1!$AM$40</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LAPOP1!$AN$36:$AP$36</c:f>
              <c:strCache>
                <c:ptCount val="3"/>
                <c:pt idx="0">
                  <c:v>En ciertas circunstancias es aceptable un gobierno autoritario (7.9%)</c:v>
                </c:pt>
                <c:pt idx="1">
                  <c:v>Indiferente con el tipo de régimen (18.1%)</c:v>
                </c:pt>
                <c:pt idx="2">
                  <c:v>La democracia es preferible a cualquier otra forma de gobierno (74.0%)</c:v>
                </c:pt>
              </c:strCache>
            </c:strRef>
          </c:cat>
          <c:val>
            <c:numRef>
              <c:f>LAPOP1!$AN$40:$AP$40</c:f>
              <c:numCache>
                <c:formatCode>0.00</c:formatCode>
                <c:ptCount val="3"/>
                <c:pt idx="0">
                  <c:v>3.05</c:v>
                </c:pt>
                <c:pt idx="1">
                  <c:v>3.74</c:v>
                </c:pt>
                <c:pt idx="2">
                  <c:v>2.77</c:v>
                </c:pt>
              </c:numCache>
            </c:numRef>
          </c:val>
        </c:ser>
        <c:ser>
          <c:idx val="4"/>
          <c:order val="4"/>
          <c:tx>
            <c:strRef>
              <c:f>LAPOP1!$AM$41</c:f>
              <c:strCache>
                <c:ptCount val="1"/>
                <c:pt idx="0">
                  <c:v>Muy en desacuerdo</c:v>
                </c:pt>
              </c:strCache>
            </c:strRef>
          </c:tx>
          <c:invertIfNegative val="0"/>
          <c:dLbls>
            <c:numFmt formatCode="#,##0.0" sourceLinked="0"/>
            <c:showLegendKey val="0"/>
            <c:showVal val="1"/>
            <c:showCatName val="0"/>
            <c:showSerName val="0"/>
            <c:showPercent val="0"/>
            <c:showBubbleSize val="0"/>
            <c:showLeaderLines val="0"/>
          </c:dLbls>
          <c:cat>
            <c:strRef>
              <c:f>LAPOP1!$AN$36:$AP$36</c:f>
              <c:strCache>
                <c:ptCount val="3"/>
                <c:pt idx="0">
                  <c:v>En ciertas circunstancias es aceptable un gobierno autoritario (7.9%)</c:v>
                </c:pt>
                <c:pt idx="1">
                  <c:v>Indiferente con el tipo de régimen (18.1%)</c:v>
                </c:pt>
                <c:pt idx="2">
                  <c:v>La democracia es preferible a cualquier otra forma de gobierno (74.0%)</c:v>
                </c:pt>
              </c:strCache>
            </c:strRef>
          </c:cat>
          <c:val>
            <c:numRef>
              <c:f>LAPOP1!$AN$41:$AP$41</c:f>
              <c:numCache>
                <c:formatCode>0.00</c:formatCode>
                <c:ptCount val="3"/>
                <c:pt idx="0">
                  <c:v>2.32</c:v>
                </c:pt>
                <c:pt idx="1">
                  <c:v>2.55</c:v>
                </c:pt>
                <c:pt idx="2">
                  <c:v>0.52</c:v>
                </c:pt>
              </c:numCache>
            </c:numRef>
          </c:val>
        </c:ser>
        <c:dLbls>
          <c:showLegendKey val="0"/>
          <c:showVal val="1"/>
          <c:showCatName val="0"/>
          <c:showSerName val="0"/>
          <c:showPercent val="0"/>
          <c:showBubbleSize val="0"/>
        </c:dLbls>
        <c:gapWidth val="75"/>
        <c:axId val="1563764584"/>
        <c:axId val="1563767496"/>
      </c:barChart>
      <c:catAx>
        <c:axId val="1563764584"/>
        <c:scaling>
          <c:orientation val="minMax"/>
        </c:scaling>
        <c:delete val="0"/>
        <c:axPos val="b"/>
        <c:majorTickMark val="none"/>
        <c:minorTickMark val="none"/>
        <c:tickLblPos val="nextTo"/>
        <c:crossAx val="1563767496"/>
        <c:crosses val="autoZero"/>
        <c:auto val="1"/>
        <c:lblAlgn val="ctr"/>
        <c:lblOffset val="100"/>
        <c:noMultiLvlLbl val="0"/>
      </c:catAx>
      <c:valAx>
        <c:axId val="1563767496"/>
        <c:scaling>
          <c:orientation val="minMax"/>
          <c:max val="100.0"/>
        </c:scaling>
        <c:delete val="0"/>
        <c:axPos val="l"/>
        <c:numFmt formatCode="General" sourceLinked="0"/>
        <c:majorTickMark val="none"/>
        <c:minorTickMark val="none"/>
        <c:tickLblPos val="nextTo"/>
        <c:crossAx val="1563764584"/>
        <c:crosses val="autoZero"/>
        <c:crossBetween val="between"/>
      </c:valAx>
    </c:plotArea>
    <c:legend>
      <c:legendPos val="b"/>
      <c:layout>
        <c:manualLayout>
          <c:xMode val="edge"/>
          <c:yMode val="edge"/>
          <c:x val="0.108559430357078"/>
          <c:y val="0.842497487411793"/>
          <c:w val="0.820699645287533"/>
          <c:h val="0.0675403714980709"/>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3724299172743"/>
          <c:y val="0.151807720910962"/>
          <c:w val="0.878657429122679"/>
          <c:h val="0.66219382607309"/>
        </c:manualLayout>
      </c:layout>
      <c:barChart>
        <c:barDir val="col"/>
        <c:grouping val="clustered"/>
        <c:varyColors val="0"/>
        <c:ser>
          <c:idx val="0"/>
          <c:order val="0"/>
          <c:tx>
            <c:strRef>
              <c:f>LAPOP1!$BF$45</c:f>
              <c:strCache>
                <c:ptCount val="1"/>
                <c:pt idx="0">
                  <c:v>Muy de acuerdo</c:v>
                </c:pt>
              </c:strCache>
            </c:strRef>
          </c:tx>
          <c:invertIfNegative val="0"/>
          <c:dLbls>
            <c:numFmt formatCode="#,##0.0" sourceLinked="0"/>
            <c:showLegendKey val="0"/>
            <c:showVal val="1"/>
            <c:showCatName val="0"/>
            <c:showSerName val="0"/>
            <c:showPercent val="0"/>
            <c:showBubbleSize val="0"/>
            <c:showLeaderLines val="0"/>
          </c:dLbls>
          <c:cat>
            <c:strRef>
              <c:f>LAPOP1!$BG$44:$BI$44</c:f>
              <c:strCache>
                <c:ptCount val="3"/>
                <c:pt idx="0">
                  <c:v>Baja Confianza (16.3%)</c:v>
                </c:pt>
                <c:pt idx="1">
                  <c:v>Confianza Media (65.8%)</c:v>
                </c:pt>
                <c:pt idx="2">
                  <c:v>Alta Confianza (17.9%)</c:v>
                </c:pt>
              </c:strCache>
            </c:strRef>
          </c:cat>
          <c:val>
            <c:numRef>
              <c:f>LAPOP1!$BG$45:$BI$45</c:f>
              <c:numCache>
                <c:formatCode>0.00</c:formatCode>
                <c:ptCount val="3"/>
                <c:pt idx="0">
                  <c:v>28.50877192982456</c:v>
                </c:pt>
                <c:pt idx="1">
                  <c:v>18.30985915492958</c:v>
                </c:pt>
                <c:pt idx="2">
                  <c:v>18.72509960159363</c:v>
                </c:pt>
              </c:numCache>
            </c:numRef>
          </c:val>
        </c:ser>
        <c:ser>
          <c:idx val="1"/>
          <c:order val="1"/>
          <c:tx>
            <c:strRef>
              <c:f>LAPOP1!$BF$46</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LAPOP1!$BG$44:$BI$44</c:f>
              <c:strCache>
                <c:ptCount val="3"/>
                <c:pt idx="0">
                  <c:v>Baja Confianza (16.3%)</c:v>
                </c:pt>
                <c:pt idx="1">
                  <c:v>Confianza Media (65.8%)</c:v>
                </c:pt>
                <c:pt idx="2">
                  <c:v>Alta Confianza (17.9%)</c:v>
                </c:pt>
              </c:strCache>
            </c:strRef>
          </c:cat>
          <c:val>
            <c:numRef>
              <c:f>LAPOP1!$BG$46:$BI$46</c:f>
              <c:numCache>
                <c:formatCode>0.00</c:formatCode>
                <c:ptCount val="3"/>
                <c:pt idx="0">
                  <c:v>41.2280701754386</c:v>
                </c:pt>
                <c:pt idx="1">
                  <c:v>52.65438786565547</c:v>
                </c:pt>
                <c:pt idx="2">
                  <c:v>50.59760956175299</c:v>
                </c:pt>
              </c:numCache>
            </c:numRef>
          </c:val>
        </c:ser>
        <c:ser>
          <c:idx val="2"/>
          <c:order val="2"/>
          <c:tx>
            <c:strRef>
              <c:f>LAPOP1!$BF$47</c:f>
              <c:strCache>
                <c:ptCount val="1"/>
                <c:pt idx="0">
                  <c:v>Ni de acuerdo ni en desacuerdo</c:v>
                </c:pt>
              </c:strCache>
            </c:strRef>
          </c:tx>
          <c:invertIfNegative val="0"/>
          <c:dLbls>
            <c:numFmt formatCode="#,##0.0" sourceLinked="0"/>
            <c:showLegendKey val="0"/>
            <c:showVal val="1"/>
            <c:showCatName val="0"/>
            <c:showSerName val="0"/>
            <c:showPercent val="0"/>
            <c:showBubbleSize val="0"/>
            <c:showLeaderLines val="0"/>
          </c:dLbls>
          <c:cat>
            <c:strRef>
              <c:f>LAPOP1!$BG$44:$BI$44</c:f>
              <c:strCache>
                <c:ptCount val="3"/>
                <c:pt idx="0">
                  <c:v>Baja Confianza (16.3%)</c:v>
                </c:pt>
                <c:pt idx="1">
                  <c:v>Confianza Media (65.8%)</c:v>
                </c:pt>
                <c:pt idx="2">
                  <c:v>Alta Confianza (17.9%)</c:v>
                </c:pt>
              </c:strCache>
            </c:strRef>
          </c:cat>
          <c:val>
            <c:numRef>
              <c:f>LAPOP1!$BG$47:$BI$47</c:f>
              <c:numCache>
                <c:formatCode>0.00</c:formatCode>
                <c:ptCount val="3"/>
                <c:pt idx="0">
                  <c:v>21.05263157894737</c:v>
                </c:pt>
                <c:pt idx="1">
                  <c:v>26.32719393282774</c:v>
                </c:pt>
                <c:pt idx="2">
                  <c:v>26.69322709163347</c:v>
                </c:pt>
              </c:numCache>
            </c:numRef>
          </c:val>
        </c:ser>
        <c:ser>
          <c:idx val="3"/>
          <c:order val="3"/>
          <c:tx>
            <c:strRef>
              <c:f>LAPOP1!$BF$48</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LAPOP1!$BG$44:$BI$44</c:f>
              <c:strCache>
                <c:ptCount val="3"/>
                <c:pt idx="0">
                  <c:v>Baja Confianza (16.3%)</c:v>
                </c:pt>
                <c:pt idx="1">
                  <c:v>Confianza Media (65.8%)</c:v>
                </c:pt>
                <c:pt idx="2">
                  <c:v>Alta Confianza (17.9%)</c:v>
                </c:pt>
              </c:strCache>
            </c:strRef>
          </c:cat>
          <c:val>
            <c:numRef>
              <c:f>LAPOP1!$BG$48:$BI$48</c:f>
              <c:numCache>
                <c:formatCode>0.00</c:formatCode>
                <c:ptCount val="3"/>
                <c:pt idx="0">
                  <c:v>6.140350877192983</c:v>
                </c:pt>
                <c:pt idx="1">
                  <c:v>1.950162513542795</c:v>
                </c:pt>
                <c:pt idx="2">
                  <c:v>3.98406374501992</c:v>
                </c:pt>
              </c:numCache>
            </c:numRef>
          </c:val>
        </c:ser>
        <c:ser>
          <c:idx val="4"/>
          <c:order val="4"/>
          <c:tx>
            <c:strRef>
              <c:f>LAPOP1!$BF$49</c:f>
              <c:strCache>
                <c:ptCount val="1"/>
                <c:pt idx="0">
                  <c:v>Muy en desacuerdo</c:v>
                </c:pt>
              </c:strCache>
            </c:strRef>
          </c:tx>
          <c:invertIfNegative val="0"/>
          <c:dLbls>
            <c:numFmt formatCode="#,##0.0" sourceLinked="0"/>
            <c:showLegendKey val="0"/>
            <c:showVal val="1"/>
            <c:showCatName val="0"/>
            <c:showSerName val="0"/>
            <c:showPercent val="0"/>
            <c:showBubbleSize val="0"/>
            <c:showLeaderLines val="0"/>
          </c:dLbls>
          <c:cat>
            <c:strRef>
              <c:f>LAPOP1!$BG$44:$BI$44</c:f>
              <c:strCache>
                <c:ptCount val="3"/>
                <c:pt idx="0">
                  <c:v>Baja Confianza (16.3%)</c:v>
                </c:pt>
                <c:pt idx="1">
                  <c:v>Confianza Media (65.8%)</c:v>
                </c:pt>
                <c:pt idx="2">
                  <c:v>Alta Confianza (17.9%)</c:v>
                </c:pt>
              </c:strCache>
            </c:strRef>
          </c:cat>
          <c:val>
            <c:numRef>
              <c:f>LAPOP1!$BG$49:$BI$49</c:f>
              <c:numCache>
                <c:formatCode>0.00</c:formatCode>
                <c:ptCount val="3"/>
                <c:pt idx="0">
                  <c:v>3.070175438596491</c:v>
                </c:pt>
                <c:pt idx="1">
                  <c:v>0.75839653304442</c:v>
                </c:pt>
                <c:pt idx="2">
                  <c:v>0.0</c:v>
                </c:pt>
              </c:numCache>
            </c:numRef>
          </c:val>
        </c:ser>
        <c:dLbls>
          <c:showLegendKey val="0"/>
          <c:showVal val="1"/>
          <c:showCatName val="0"/>
          <c:showSerName val="0"/>
          <c:showPercent val="0"/>
          <c:showBubbleSize val="0"/>
        </c:dLbls>
        <c:gapWidth val="75"/>
        <c:axId val="1572789432"/>
        <c:axId val="1572792344"/>
      </c:barChart>
      <c:catAx>
        <c:axId val="1572789432"/>
        <c:scaling>
          <c:orientation val="minMax"/>
        </c:scaling>
        <c:delete val="0"/>
        <c:axPos val="b"/>
        <c:majorTickMark val="none"/>
        <c:minorTickMark val="none"/>
        <c:tickLblPos val="nextTo"/>
        <c:crossAx val="1572792344"/>
        <c:crosses val="autoZero"/>
        <c:auto val="1"/>
        <c:lblAlgn val="ctr"/>
        <c:lblOffset val="100"/>
        <c:noMultiLvlLbl val="0"/>
      </c:catAx>
      <c:valAx>
        <c:axId val="1572792344"/>
        <c:scaling>
          <c:orientation val="minMax"/>
          <c:max val="100.0"/>
        </c:scaling>
        <c:delete val="0"/>
        <c:axPos val="l"/>
        <c:numFmt formatCode="General" sourceLinked="0"/>
        <c:majorTickMark val="none"/>
        <c:minorTickMark val="none"/>
        <c:tickLblPos val="nextTo"/>
        <c:crossAx val="1572789432"/>
        <c:crosses val="autoZero"/>
        <c:crossBetween val="between"/>
      </c:valAx>
      <c:spPr>
        <a:noFill/>
        <a:ln w="25400">
          <a:noFill/>
        </a:ln>
      </c:spPr>
    </c:plotArea>
    <c:legend>
      <c:legendPos val="b"/>
      <c:overlay val="0"/>
      <c:spPr>
        <a:noFill/>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92875789033488"/>
          <c:y val="0.0514005540974045"/>
          <c:w val="0.885833889467417"/>
          <c:h val="0.681793138689522"/>
        </c:manualLayout>
      </c:layout>
      <c:barChart>
        <c:barDir val="col"/>
        <c:grouping val="clustered"/>
        <c:varyColors val="0"/>
        <c:ser>
          <c:idx val="0"/>
          <c:order val="0"/>
          <c:tx>
            <c:strRef>
              <c:f>LAPOP1!$BF$82</c:f>
              <c:strCache>
                <c:ptCount val="1"/>
                <c:pt idx="0">
                  <c:v>Muy de acuerdo</c:v>
                </c:pt>
              </c:strCache>
            </c:strRef>
          </c:tx>
          <c:invertIfNegative val="0"/>
          <c:dLbls>
            <c:numFmt formatCode="#,##0.0" sourceLinked="0"/>
            <c:showLegendKey val="0"/>
            <c:showVal val="1"/>
            <c:showCatName val="0"/>
            <c:showSerName val="0"/>
            <c:showPercent val="0"/>
            <c:showBubbleSize val="0"/>
            <c:showLeaderLines val="0"/>
          </c:dLbls>
          <c:cat>
            <c:strRef>
              <c:f>LAPOP1!$BG$81:$BI$81</c:f>
              <c:strCache>
                <c:ptCount val="3"/>
                <c:pt idx="0">
                  <c:v>Baja Confianza (31.7%)</c:v>
                </c:pt>
                <c:pt idx="1">
                  <c:v>Confianza Media (56.7%)</c:v>
                </c:pt>
                <c:pt idx="2">
                  <c:v>Alta Confianza (11.6%)</c:v>
                </c:pt>
              </c:strCache>
            </c:strRef>
          </c:cat>
          <c:val>
            <c:numRef>
              <c:f>LAPOP1!$BG$82:$BI$82</c:f>
              <c:numCache>
                <c:formatCode>0.00</c:formatCode>
                <c:ptCount val="3"/>
                <c:pt idx="0">
                  <c:v>22.79909706546275</c:v>
                </c:pt>
                <c:pt idx="1">
                  <c:v>19.31818181818182</c:v>
                </c:pt>
                <c:pt idx="2">
                  <c:v>16.04938271604938</c:v>
                </c:pt>
              </c:numCache>
            </c:numRef>
          </c:val>
        </c:ser>
        <c:ser>
          <c:idx val="1"/>
          <c:order val="1"/>
          <c:tx>
            <c:strRef>
              <c:f>LAPOP1!$BF$83</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LAPOP1!$BG$81:$BI$81</c:f>
              <c:strCache>
                <c:ptCount val="3"/>
                <c:pt idx="0">
                  <c:v>Baja Confianza (31.7%)</c:v>
                </c:pt>
                <c:pt idx="1">
                  <c:v>Confianza Media (56.7%)</c:v>
                </c:pt>
                <c:pt idx="2">
                  <c:v>Alta Confianza (11.6%)</c:v>
                </c:pt>
              </c:strCache>
            </c:strRef>
          </c:cat>
          <c:val>
            <c:numRef>
              <c:f>LAPOP1!$BG$83:$BI$83</c:f>
              <c:numCache>
                <c:formatCode>0.00</c:formatCode>
                <c:ptCount val="3"/>
                <c:pt idx="0">
                  <c:v>45.82392776523702</c:v>
                </c:pt>
                <c:pt idx="1">
                  <c:v>51.26262626262626</c:v>
                </c:pt>
                <c:pt idx="2">
                  <c:v>56.17283950617284</c:v>
                </c:pt>
              </c:numCache>
            </c:numRef>
          </c:val>
        </c:ser>
        <c:ser>
          <c:idx val="2"/>
          <c:order val="2"/>
          <c:tx>
            <c:strRef>
              <c:f>LAPOP1!$BF$84</c:f>
              <c:strCache>
                <c:ptCount val="1"/>
                <c:pt idx="0">
                  <c:v>Ni de acuerdo ni en desacuerdo</c:v>
                </c:pt>
              </c:strCache>
            </c:strRef>
          </c:tx>
          <c:invertIfNegative val="0"/>
          <c:dLbls>
            <c:numFmt formatCode="#,##0.0" sourceLinked="0"/>
            <c:showLegendKey val="0"/>
            <c:showVal val="1"/>
            <c:showCatName val="0"/>
            <c:showSerName val="0"/>
            <c:showPercent val="0"/>
            <c:showBubbleSize val="0"/>
            <c:showLeaderLines val="0"/>
          </c:dLbls>
          <c:cat>
            <c:strRef>
              <c:f>LAPOP1!$BG$81:$BI$81</c:f>
              <c:strCache>
                <c:ptCount val="3"/>
                <c:pt idx="0">
                  <c:v>Baja Confianza (31.7%)</c:v>
                </c:pt>
                <c:pt idx="1">
                  <c:v>Confianza Media (56.7%)</c:v>
                </c:pt>
                <c:pt idx="2">
                  <c:v>Alta Confianza (11.6%)</c:v>
                </c:pt>
              </c:strCache>
            </c:strRef>
          </c:cat>
          <c:val>
            <c:numRef>
              <c:f>LAPOP1!$BG$84:$BI$84</c:f>
              <c:numCache>
                <c:formatCode>0.00</c:formatCode>
                <c:ptCount val="3"/>
                <c:pt idx="0">
                  <c:v>25.95936794582393</c:v>
                </c:pt>
                <c:pt idx="1">
                  <c:v>26.13636363636364</c:v>
                </c:pt>
                <c:pt idx="2">
                  <c:v>24.07407407407407</c:v>
                </c:pt>
              </c:numCache>
            </c:numRef>
          </c:val>
        </c:ser>
        <c:ser>
          <c:idx val="3"/>
          <c:order val="3"/>
          <c:tx>
            <c:strRef>
              <c:f>LAPOP1!$BF$85</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LAPOP1!$BG$81:$BI$81</c:f>
              <c:strCache>
                <c:ptCount val="3"/>
                <c:pt idx="0">
                  <c:v>Baja Confianza (31.7%)</c:v>
                </c:pt>
                <c:pt idx="1">
                  <c:v>Confianza Media (56.7%)</c:v>
                </c:pt>
                <c:pt idx="2">
                  <c:v>Alta Confianza (11.6%)</c:v>
                </c:pt>
              </c:strCache>
            </c:strRef>
          </c:cat>
          <c:val>
            <c:numRef>
              <c:f>LAPOP1!$BG$85:$BI$85</c:f>
              <c:numCache>
                <c:formatCode>0.00</c:formatCode>
                <c:ptCount val="3"/>
                <c:pt idx="0">
                  <c:v>4.063205417607223</c:v>
                </c:pt>
                <c:pt idx="1">
                  <c:v>2.272727272727272</c:v>
                </c:pt>
                <c:pt idx="2">
                  <c:v>3.703703703703704</c:v>
                </c:pt>
              </c:numCache>
            </c:numRef>
          </c:val>
        </c:ser>
        <c:ser>
          <c:idx val="4"/>
          <c:order val="4"/>
          <c:tx>
            <c:strRef>
              <c:f>LAPOP1!$BF$86</c:f>
              <c:strCache>
                <c:ptCount val="1"/>
                <c:pt idx="0">
                  <c:v>Muy en desacuerdo</c:v>
                </c:pt>
              </c:strCache>
            </c:strRef>
          </c:tx>
          <c:invertIfNegative val="0"/>
          <c:dLbls>
            <c:numFmt formatCode="#,##0.0" sourceLinked="0"/>
            <c:showLegendKey val="0"/>
            <c:showVal val="1"/>
            <c:showCatName val="0"/>
            <c:showSerName val="0"/>
            <c:showPercent val="0"/>
            <c:showBubbleSize val="0"/>
            <c:showLeaderLines val="0"/>
          </c:dLbls>
          <c:cat>
            <c:strRef>
              <c:f>LAPOP1!$BG$81:$BI$81</c:f>
              <c:strCache>
                <c:ptCount val="3"/>
                <c:pt idx="0">
                  <c:v>Baja Confianza (31.7%)</c:v>
                </c:pt>
                <c:pt idx="1">
                  <c:v>Confianza Media (56.7%)</c:v>
                </c:pt>
                <c:pt idx="2">
                  <c:v>Alta Confianza (11.6%)</c:v>
                </c:pt>
              </c:strCache>
            </c:strRef>
          </c:cat>
          <c:val>
            <c:numRef>
              <c:f>LAPOP1!$BG$86:$BI$86</c:f>
              <c:numCache>
                <c:formatCode>0.00</c:formatCode>
                <c:ptCount val="3"/>
                <c:pt idx="0">
                  <c:v>1.354401805869074</c:v>
                </c:pt>
                <c:pt idx="1">
                  <c:v>1.01010101010101</c:v>
                </c:pt>
                <c:pt idx="2">
                  <c:v>0.0</c:v>
                </c:pt>
              </c:numCache>
            </c:numRef>
          </c:val>
        </c:ser>
        <c:dLbls>
          <c:showLegendKey val="0"/>
          <c:showVal val="1"/>
          <c:showCatName val="0"/>
          <c:showSerName val="0"/>
          <c:showPercent val="0"/>
          <c:showBubbleSize val="0"/>
        </c:dLbls>
        <c:gapWidth val="75"/>
        <c:axId val="1572161880"/>
        <c:axId val="1572751352"/>
      </c:barChart>
      <c:catAx>
        <c:axId val="1572161880"/>
        <c:scaling>
          <c:orientation val="minMax"/>
        </c:scaling>
        <c:delete val="0"/>
        <c:axPos val="b"/>
        <c:majorTickMark val="none"/>
        <c:minorTickMark val="none"/>
        <c:tickLblPos val="nextTo"/>
        <c:crossAx val="1572751352"/>
        <c:crosses val="autoZero"/>
        <c:auto val="1"/>
        <c:lblAlgn val="ctr"/>
        <c:lblOffset val="100"/>
        <c:noMultiLvlLbl val="0"/>
      </c:catAx>
      <c:valAx>
        <c:axId val="1572751352"/>
        <c:scaling>
          <c:orientation val="minMax"/>
          <c:max val="100.0"/>
        </c:scaling>
        <c:delete val="0"/>
        <c:axPos val="l"/>
        <c:numFmt formatCode="General" sourceLinked="0"/>
        <c:majorTickMark val="none"/>
        <c:minorTickMark val="none"/>
        <c:tickLblPos val="nextTo"/>
        <c:crossAx val="1572161880"/>
        <c:crosses val="autoZero"/>
        <c:crossBetween val="between"/>
      </c:valAx>
    </c:plotArea>
    <c:legend>
      <c:legendPos val="b"/>
      <c:layout>
        <c:manualLayout>
          <c:xMode val="edge"/>
          <c:yMode val="edge"/>
          <c:x val="0.051935430432541"/>
          <c:y val="0.842348423261252"/>
          <c:w val="0.899999954279911"/>
          <c:h val="0.0711225698557592"/>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1080232617982"/>
          <c:y val="0.183219125570543"/>
          <c:w val="0.867133275007291"/>
          <c:h val="0.553136181257076"/>
        </c:manualLayout>
      </c:layout>
      <c:barChart>
        <c:barDir val="col"/>
        <c:grouping val="clustered"/>
        <c:varyColors val="0"/>
        <c:ser>
          <c:idx val="0"/>
          <c:order val="0"/>
          <c:invertIfNegative val="0"/>
          <c:dLbls>
            <c:numFmt formatCode="#,##0.0" sourceLinked="0"/>
            <c:showLegendKey val="0"/>
            <c:showVal val="1"/>
            <c:showCatName val="0"/>
            <c:showSerName val="0"/>
            <c:showPercent val="0"/>
            <c:showBubbleSize val="0"/>
            <c:showLeaderLines val="0"/>
          </c:dLbls>
          <c:cat>
            <c:strRef>
              <c:f>[1]UDP13!$B$14:$B$20</c:f>
              <c:strCache>
                <c:ptCount val="7"/>
                <c:pt idx="0">
                  <c:v>_x000f_Nada Importante</c:v>
                </c:pt>
                <c:pt idx="1">
                  <c:v>_x0001_2</c:v>
                </c:pt>
                <c:pt idx="2">
                  <c:v>_x0001_3</c:v>
                </c:pt>
                <c:pt idx="3">
                  <c:v>_x0001_4</c:v>
                </c:pt>
                <c:pt idx="4">
                  <c:v>_x0001_5</c:v>
                </c:pt>
                <c:pt idx="5">
                  <c:v>_x0001_6</c:v>
                </c:pt>
                <c:pt idx="6">
                  <c:v>_x000e_Muy Importante</c:v>
                </c:pt>
              </c:strCache>
            </c:strRef>
          </c:cat>
          <c:val>
            <c:numRef>
              <c:f>[1]UDP13!$C$14:$C$20</c:f>
              <c:numCache>
                <c:formatCode>General</c:formatCode>
                <c:ptCount val="7"/>
                <c:pt idx="0">
                  <c:v>2.405614196909088</c:v>
                </c:pt>
                <c:pt idx="1">
                  <c:v>0.889110115293796</c:v>
                </c:pt>
                <c:pt idx="2">
                  <c:v>4.088091993804773</c:v>
                </c:pt>
                <c:pt idx="3">
                  <c:v>14.15461772092766</c:v>
                </c:pt>
                <c:pt idx="4">
                  <c:v>24.35425575844196</c:v>
                </c:pt>
                <c:pt idx="5">
                  <c:v>25.9819182502217</c:v>
                </c:pt>
                <c:pt idx="6">
                  <c:v>28.12639196440102</c:v>
                </c:pt>
              </c:numCache>
            </c:numRef>
          </c:val>
        </c:ser>
        <c:dLbls>
          <c:showLegendKey val="0"/>
          <c:showVal val="1"/>
          <c:showCatName val="0"/>
          <c:showSerName val="0"/>
          <c:showPercent val="0"/>
          <c:showBubbleSize val="0"/>
        </c:dLbls>
        <c:gapWidth val="75"/>
        <c:axId val="1499524392"/>
        <c:axId val="1499546920"/>
      </c:barChart>
      <c:catAx>
        <c:axId val="1499524392"/>
        <c:scaling>
          <c:orientation val="minMax"/>
        </c:scaling>
        <c:delete val="0"/>
        <c:axPos val="b"/>
        <c:majorTickMark val="none"/>
        <c:minorTickMark val="none"/>
        <c:tickLblPos val="nextTo"/>
        <c:crossAx val="1499546920"/>
        <c:crosses val="autoZero"/>
        <c:auto val="1"/>
        <c:lblAlgn val="ctr"/>
        <c:lblOffset val="100"/>
        <c:noMultiLvlLbl val="0"/>
      </c:catAx>
      <c:valAx>
        <c:axId val="1499546920"/>
        <c:scaling>
          <c:orientation val="minMax"/>
          <c:max val="100.0"/>
        </c:scaling>
        <c:delete val="0"/>
        <c:axPos val="l"/>
        <c:numFmt formatCode="General" sourceLinked="1"/>
        <c:majorTickMark val="none"/>
        <c:minorTickMark val="none"/>
        <c:tickLblPos val="nextTo"/>
        <c:crossAx val="1499524392"/>
        <c:crosses val="autoZero"/>
        <c:crossBetween val="between"/>
      </c:valAx>
    </c:plotArea>
    <c:plotVisOnly val="1"/>
    <c:dispBlanksAs val="gap"/>
    <c:showDLblsOverMax val="0"/>
  </c:chart>
  <c:printSettings>
    <c:headerFooter/>
    <c:pageMargins b="0.75" l="0.7" r="0.7" t="0.75" header="0.3" footer="0.3"/>
    <c:pageSetup orientation="landscape"/>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1274900584141"/>
          <c:y val="0.17028153276461"/>
          <c:w val="0.862674181713076"/>
          <c:h val="0.564495528026359"/>
        </c:manualLayout>
      </c:layout>
      <c:barChart>
        <c:barDir val="col"/>
        <c:grouping val="clustered"/>
        <c:varyColors val="0"/>
        <c:ser>
          <c:idx val="0"/>
          <c:order val="0"/>
          <c:tx>
            <c:strRef>
              <c:f>[1]UDP13!$I$14</c:f>
              <c:strCache>
                <c:ptCount val="1"/>
                <c:pt idx="0">
                  <c:v>Nada Importante</c:v>
                </c:pt>
              </c:strCache>
            </c:strRef>
          </c:tx>
          <c:invertIfNegative val="0"/>
          <c:dLbls>
            <c:numFmt formatCode="#,##0.0" sourceLinked="0"/>
            <c:showLegendKey val="0"/>
            <c:showVal val="1"/>
            <c:showCatName val="0"/>
            <c:showSerName val="0"/>
            <c:showPercent val="0"/>
            <c:showBubbleSize val="0"/>
            <c:showLeaderLines val="0"/>
          </c:dLbls>
          <c:cat>
            <c:strRef>
              <c:f>[1]UDP13!$J$13:$K$13</c:f>
              <c:strCache>
                <c:ptCount val="2"/>
                <c:pt idx="0">
                  <c:v>_x000e_Hombre (50.4%)</c:v>
                </c:pt>
                <c:pt idx="1">
                  <c:v>_x000d_Mujer (49.6%)</c:v>
                </c:pt>
              </c:strCache>
            </c:strRef>
          </c:cat>
          <c:val>
            <c:numRef>
              <c:f>[1]UDP13!$J$14:$K$14</c:f>
              <c:numCache>
                <c:formatCode>General</c:formatCode>
                <c:ptCount val="2"/>
                <c:pt idx="0">
                  <c:v>3.08529945553539</c:v>
                </c:pt>
                <c:pt idx="1">
                  <c:v>1.845018450184502</c:v>
                </c:pt>
              </c:numCache>
            </c:numRef>
          </c:val>
        </c:ser>
        <c:ser>
          <c:idx val="1"/>
          <c:order val="1"/>
          <c:tx>
            <c:strRef>
              <c:f>[1]UDP13!$I$15</c:f>
              <c:strCache>
                <c:ptCount val="1"/>
                <c:pt idx="0">
                  <c:v>2</c:v>
                </c:pt>
              </c:strCache>
            </c:strRef>
          </c:tx>
          <c:invertIfNegative val="0"/>
          <c:dLbls>
            <c:numFmt formatCode="#,##0.0" sourceLinked="0"/>
            <c:showLegendKey val="0"/>
            <c:showVal val="1"/>
            <c:showCatName val="0"/>
            <c:showSerName val="0"/>
            <c:showPercent val="0"/>
            <c:showBubbleSize val="0"/>
            <c:showLeaderLines val="0"/>
          </c:dLbls>
          <c:cat>
            <c:strRef>
              <c:f>[1]UDP13!$J$13:$K$13</c:f>
              <c:strCache>
                <c:ptCount val="2"/>
                <c:pt idx="0">
                  <c:v>_x000e_Hombre (50.4%)</c:v>
                </c:pt>
                <c:pt idx="1">
                  <c:v>_x000d_Mujer (49.6%)</c:v>
                </c:pt>
              </c:strCache>
            </c:strRef>
          </c:cat>
          <c:val>
            <c:numRef>
              <c:f>[1]UDP13!$J$15:$K$15</c:f>
              <c:numCache>
                <c:formatCode>General</c:formatCode>
                <c:ptCount val="2"/>
                <c:pt idx="0">
                  <c:v>0.907441016333938</c:v>
                </c:pt>
                <c:pt idx="1">
                  <c:v>0.922509225092251</c:v>
                </c:pt>
              </c:numCache>
            </c:numRef>
          </c:val>
        </c:ser>
        <c:ser>
          <c:idx val="2"/>
          <c:order val="2"/>
          <c:tx>
            <c:strRef>
              <c:f>[1]UDP13!$I$16</c:f>
              <c:strCache>
                <c:ptCount val="1"/>
                <c:pt idx="0">
                  <c:v>3</c:v>
                </c:pt>
              </c:strCache>
            </c:strRef>
          </c:tx>
          <c:invertIfNegative val="0"/>
          <c:dLbls>
            <c:numFmt formatCode="#,##0.0" sourceLinked="0"/>
            <c:showLegendKey val="0"/>
            <c:showVal val="1"/>
            <c:showCatName val="0"/>
            <c:showSerName val="0"/>
            <c:showPercent val="0"/>
            <c:showBubbleSize val="0"/>
            <c:showLeaderLines val="0"/>
          </c:dLbls>
          <c:cat>
            <c:strRef>
              <c:f>[1]UDP13!$J$13:$K$13</c:f>
              <c:strCache>
                <c:ptCount val="2"/>
                <c:pt idx="0">
                  <c:v>_x000e_Hombre (50.4%)</c:v>
                </c:pt>
                <c:pt idx="1">
                  <c:v>_x000d_Mujer (49.6%)</c:v>
                </c:pt>
              </c:strCache>
            </c:strRef>
          </c:cat>
          <c:val>
            <c:numRef>
              <c:f>[1]UDP13!$J$16:$K$16</c:f>
              <c:numCache>
                <c:formatCode>General</c:formatCode>
                <c:ptCount val="2"/>
                <c:pt idx="0">
                  <c:v>3.992740471869328</c:v>
                </c:pt>
                <c:pt idx="1">
                  <c:v>4.059040590405904</c:v>
                </c:pt>
              </c:numCache>
            </c:numRef>
          </c:val>
        </c:ser>
        <c:ser>
          <c:idx val="3"/>
          <c:order val="3"/>
          <c:tx>
            <c:strRef>
              <c:f>[1]UDP13!$I$17</c:f>
              <c:strCache>
                <c:ptCount val="1"/>
                <c:pt idx="0">
                  <c:v>4</c:v>
                </c:pt>
              </c:strCache>
            </c:strRef>
          </c:tx>
          <c:invertIfNegative val="0"/>
          <c:dLbls>
            <c:numFmt formatCode="#,##0.0" sourceLinked="0"/>
            <c:showLegendKey val="0"/>
            <c:showVal val="1"/>
            <c:showCatName val="0"/>
            <c:showSerName val="0"/>
            <c:showPercent val="0"/>
            <c:showBubbleSize val="0"/>
            <c:showLeaderLines val="0"/>
          </c:dLbls>
          <c:cat>
            <c:strRef>
              <c:f>[1]UDP13!$J$13:$K$13</c:f>
              <c:strCache>
                <c:ptCount val="2"/>
                <c:pt idx="0">
                  <c:v>_x000e_Hombre (50.4%)</c:v>
                </c:pt>
                <c:pt idx="1">
                  <c:v>_x000d_Mujer (49.6%)</c:v>
                </c:pt>
              </c:strCache>
            </c:strRef>
          </c:cat>
          <c:val>
            <c:numRef>
              <c:f>[1]UDP13!$J$17:$K$17</c:f>
              <c:numCache>
                <c:formatCode>General</c:formatCode>
                <c:ptCount val="2"/>
                <c:pt idx="0">
                  <c:v>12.15970961887477</c:v>
                </c:pt>
                <c:pt idx="1">
                  <c:v>16.05166051660517</c:v>
                </c:pt>
              </c:numCache>
            </c:numRef>
          </c:val>
        </c:ser>
        <c:ser>
          <c:idx val="4"/>
          <c:order val="4"/>
          <c:tx>
            <c:strRef>
              <c:f>[1]UDP13!$I$18</c:f>
              <c:strCache>
                <c:ptCount val="1"/>
                <c:pt idx="0">
                  <c:v>5</c:v>
                </c:pt>
              </c:strCache>
            </c:strRef>
          </c:tx>
          <c:invertIfNegative val="0"/>
          <c:dLbls>
            <c:numFmt formatCode="#,##0.0" sourceLinked="0"/>
            <c:showLegendKey val="0"/>
            <c:showVal val="1"/>
            <c:showCatName val="0"/>
            <c:showSerName val="0"/>
            <c:showPercent val="0"/>
            <c:showBubbleSize val="0"/>
            <c:showLeaderLines val="0"/>
          </c:dLbls>
          <c:cat>
            <c:strRef>
              <c:f>[1]UDP13!$J$13:$K$13</c:f>
              <c:strCache>
                <c:ptCount val="2"/>
                <c:pt idx="0">
                  <c:v>_x000e_Hombre (50.4%)</c:v>
                </c:pt>
                <c:pt idx="1">
                  <c:v>_x000d_Mujer (49.6%)</c:v>
                </c:pt>
              </c:strCache>
            </c:strRef>
          </c:cat>
          <c:val>
            <c:numRef>
              <c:f>[1]UDP13!$J$18:$K$18</c:f>
              <c:numCache>
                <c:formatCode>General</c:formatCode>
                <c:ptCount val="2"/>
                <c:pt idx="0">
                  <c:v>24.31941923774955</c:v>
                </c:pt>
                <c:pt idx="1">
                  <c:v>24.35424354243542</c:v>
                </c:pt>
              </c:numCache>
            </c:numRef>
          </c:val>
        </c:ser>
        <c:ser>
          <c:idx val="5"/>
          <c:order val="5"/>
          <c:tx>
            <c:strRef>
              <c:f>[1]UDP13!$I$19</c:f>
              <c:strCache>
                <c:ptCount val="1"/>
                <c:pt idx="0">
                  <c:v>6</c:v>
                </c:pt>
              </c:strCache>
            </c:strRef>
          </c:tx>
          <c:invertIfNegative val="0"/>
          <c:dLbls>
            <c:dLbl>
              <c:idx val="0"/>
              <c:numFmt formatCode="#,##0.0" sourceLinked="0"/>
              <c:spPr/>
              <c:txPr>
                <a:bodyPr/>
                <a:lstStyle/>
                <a:p>
                  <a:pPr>
                    <a:defRPr/>
                  </a:pPr>
                  <a:endParaRPr lang="es-ES"/>
                </a:p>
              </c:txPr>
              <c:showLegendKey val="0"/>
              <c:showVal val="1"/>
              <c:showCatName val="0"/>
              <c:showSerName val="0"/>
              <c:showPercent val="0"/>
              <c:showBubbleSize val="0"/>
            </c:dLbl>
            <c:numFmt formatCode="#,##0.0" sourceLinked="0"/>
            <c:showLegendKey val="0"/>
            <c:showVal val="1"/>
            <c:showCatName val="0"/>
            <c:showSerName val="0"/>
            <c:showPercent val="0"/>
            <c:showBubbleSize val="0"/>
            <c:showLeaderLines val="0"/>
          </c:dLbls>
          <c:cat>
            <c:strRef>
              <c:f>[1]UDP13!$J$13:$K$13</c:f>
              <c:strCache>
                <c:ptCount val="2"/>
                <c:pt idx="0">
                  <c:v>_x000e_Hombre (50.4%)</c:v>
                </c:pt>
                <c:pt idx="1">
                  <c:v>_x000d_Mujer (49.6%)</c:v>
                </c:pt>
              </c:strCache>
            </c:strRef>
          </c:cat>
          <c:val>
            <c:numRef>
              <c:f>[1]UDP13!$J$19:$K$19</c:f>
              <c:numCache>
                <c:formatCode>General</c:formatCode>
                <c:ptCount val="2"/>
                <c:pt idx="0">
                  <c:v>25.0453720508167</c:v>
                </c:pt>
                <c:pt idx="1">
                  <c:v>26.93726937269373</c:v>
                </c:pt>
              </c:numCache>
            </c:numRef>
          </c:val>
        </c:ser>
        <c:ser>
          <c:idx val="6"/>
          <c:order val="6"/>
          <c:tx>
            <c:strRef>
              <c:f>[1]UDP13!$I$20</c:f>
              <c:strCache>
                <c:ptCount val="1"/>
                <c:pt idx="0">
                  <c:v>Muy Importante</c:v>
                </c:pt>
              </c:strCache>
            </c:strRef>
          </c:tx>
          <c:invertIfNegative val="0"/>
          <c:dLbls>
            <c:numFmt formatCode="#,##0.0" sourceLinked="0"/>
            <c:showLegendKey val="0"/>
            <c:showVal val="1"/>
            <c:showCatName val="0"/>
            <c:showSerName val="0"/>
            <c:showPercent val="0"/>
            <c:showBubbleSize val="0"/>
            <c:showLeaderLines val="0"/>
          </c:dLbls>
          <c:cat>
            <c:strRef>
              <c:f>[1]UDP13!$J$13:$K$13</c:f>
              <c:strCache>
                <c:ptCount val="2"/>
                <c:pt idx="0">
                  <c:v>_x000e_Hombre (50.4%)</c:v>
                </c:pt>
                <c:pt idx="1">
                  <c:v>_x000d_Mujer (49.6%)</c:v>
                </c:pt>
              </c:strCache>
            </c:strRef>
          </c:cat>
          <c:val>
            <c:numRef>
              <c:f>[1]UDP13!$J$20:$K$20</c:f>
              <c:numCache>
                <c:formatCode>General</c:formatCode>
                <c:ptCount val="2"/>
                <c:pt idx="0">
                  <c:v>30.49001814882033</c:v>
                </c:pt>
                <c:pt idx="1">
                  <c:v>25.83025830258303</c:v>
                </c:pt>
              </c:numCache>
            </c:numRef>
          </c:val>
        </c:ser>
        <c:dLbls>
          <c:showLegendKey val="0"/>
          <c:showVal val="1"/>
          <c:showCatName val="0"/>
          <c:showSerName val="0"/>
          <c:showPercent val="0"/>
          <c:showBubbleSize val="0"/>
        </c:dLbls>
        <c:gapWidth val="75"/>
        <c:axId val="1572443960"/>
        <c:axId val="1572414008"/>
      </c:barChart>
      <c:catAx>
        <c:axId val="1572443960"/>
        <c:scaling>
          <c:orientation val="minMax"/>
        </c:scaling>
        <c:delete val="0"/>
        <c:axPos val="b"/>
        <c:majorTickMark val="none"/>
        <c:minorTickMark val="none"/>
        <c:tickLblPos val="nextTo"/>
        <c:crossAx val="1572414008"/>
        <c:crosses val="autoZero"/>
        <c:auto val="1"/>
        <c:lblAlgn val="ctr"/>
        <c:lblOffset val="100"/>
        <c:noMultiLvlLbl val="0"/>
      </c:catAx>
      <c:valAx>
        <c:axId val="1572414008"/>
        <c:scaling>
          <c:orientation val="minMax"/>
          <c:max val="100.0"/>
        </c:scaling>
        <c:delete val="0"/>
        <c:axPos val="l"/>
        <c:numFmt formatCode="General" sourceLinked="1"/>
        <c:majorTickMark val="none"/>
        <c:minorTickMark val="none"/>
        <c:tickLblPos val="nextTo"/>
        <c:crossAx val="1572443960"/>
        <c:crosses val="autoZero"/>
        <c:crossBetween val="between"/>
      </c:valAx>
    </c:plotArea>
    <c:legend>
      <c:legendPos val="b"/>
      <c:layout>
        <c:manualLayout>
          <c:xMode val="edge"/>
          <c:yMode val="edge"/>
          <c:x val="0.160572672643273"/>
          <c:y val="0.829795924207886"/>
          <c:w val="0.678854468235876"/>
          <c:h val="0.0714386590549378"/>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714071836707238"/>
          <c:y val="0.168287020242328"/>
          <c:w val="0.904644249849585"/>
          <c:h val="0.565692261530724"/>
        </c:manualLayout>
      </c:layout>
      <c:barChart>
        <c:barDir val="col"/>
        <c:grouping val="clustered"/>
        <c:varyColors val="0"/>
        <c:ser>
          <c:idx val="0"/>
          <c:order val="0"/>
          <c:tx>
            <c:strRef>
              <c:f>[1]UDP13!$O$14</c:f>
              <c:strCache>
                <c:ptCount val="1"/>
                <c:pt idx="0">
                  <c:v>Nada Importante</c:v>
                </c:pt>
              </c:strCache>
            </c:strRef>
          </c:tx>
          <c:invertIfNegative val="0"/>
          <c:dLbls>
            <c:numFmt formatCode="#,##0.0" sourceLinked="0"/>
            <c:showLegendKey val="0"/>
            <c:showVal val="1"/>
            <c:showCatName val="0"/>
            <c:showSerName val="0"/>
            <c:showPercent val="0"/>
            <c:showBubbleSize val="0"/>
            <c:showLeaderLines val="0"/>
          </c:dLbls>
          <c:cat>
            <c:strRef>
              <c:f>[1]UDP13!$P$13:$S$13</c:f>
              <c:strCache>
                <c:ptCount val="4"/>
                <c:pt idx="0">
                  <c:v>_x0014_18 a 29 años (26.6%)</c:v>
                </c:pt>
                <c:pt idx="1">
                  <c:v>_x0014_30 a 45 años (31.0%)</c:v>
                </c:pt>
                <c:pt idx="2">
                  <c:v>_x0014_46 a 60 años (25.2%)</c:v>
                </c:pt>
                <c:pt idx="3">
                  <c:v>_x0015_61 años y más (17.2%)</c:v>
                </c:pt>
              </c:strCache>
            </c:strRef>
          </c:cat>
          <c:val>
            <c:numRef>
              <c:f>[1]UDP13!$P$14:$S$14</c:f>
              <c:numCache>
                <c:formatCode>General</c:formatCode>
                <c:ptCount val="4"/>
                <c:pt idx="0">
                  <c:v>1.374570446735395</c:v>
                </c:pt>
                <c:pt idx="1">
                  <c:v>2.949852507374631</c:v>
                </c:pt>
                <c:pt idx="2">
                  <c:v>2.536231884057971</c:v>
                </c:pt>
                <c:pt idx="3">
                  <c:v>2.659574468085106</c:v>
                </c:pt>
              </c:numCache>
            </c:numRef>
          </c:val>
        </c:ser>
        <c:ser>
          <c:idx val="1"/>
          <c:order val="1"/>
          <c:tx>
            <c:strRef>
              <c:f>[1]UDP13!$O$15</c:f>
              <c:strCache>
                <c:ptCount val="1"/>
                <c:pt idx="0">
                  <c:v>2</c:v>
                </c:pt>
              </c:strCache>
            </c:strRef>
          </c:tx>
          <c:invertIfNegative val="0"/>
          <c:dLbls>
            <c:numFmt formatCode="#,##0.0" sourceLinked="0"/>
            <c:showLegendKey val="0"/>
            <c:showVal val="1"/>
            <c:showCatName val="0"/>
            <c:showSerName val="0"/>
            <c:showPercent val="0"/>
            <c:showBubbleSize val="0"/>
            <c:showLeaderLines val="0"/>
          </c:dLbls>
          <c:cat>
            <c:strRef>
              <c:f>[1]UDP13!$P$13:$S$13</c:f>
              <c:strCache>
                <c:ptCount val="4"/>
                <c:pt idx="0">
                  <c:v>_x0014_18 a 29 años (26.6%)</c:v>
                </c:pt>
                <c:pt idx="1">
                  <c:v>_x0014_30 a 45 años (31.0%)</c:v>
                </c:pt>
                <c:pt idx="2">
                  <c:v>_x0014_46 a 60 años (25.2%)</c:v>
                </c:pt>
                <c:pt idx="3">
                  <c:v>_x0015_61 años y más (17.2%)</c:v>
                </c:pt>
              </c:strCache>
            </c:strRef>
          </c:cat>
          <c:val>
            <c:numRef>
              <c:f>[1]UDP13!$P$15:$S$15</c:f>
              <c:numCache>
                <c:formatCode>General</c:formatCode>
                <c:ptCount val="4"/>
                <c:pt idx="0">
                  <c:v>0.0</c:v>
                </c:pt>
                <c:pt idx="1">
                  <c:v>0.884955752212389</c:v>
                </c:pt>
                <c:pt idx="2">
                  <c:v>1.449275362318841</c:v>
                </c:pt>
                <c:pt idx="3">
                  <c:v>1.595744680851064</c:v>
                </c:pt>
              </c:numCache>
            </c:numRef>
          </c:val>
        </c:ser>
        <c:ser>
          <c:idx val="2"/>
          <c:order val="2"/>
          <c:tx>
            <c:strRef>
              <c:f>[1]UDP13!$O$16</c:f>
              <c:strCache>
                <c:ptCount val="1"/>
                <c:pt idx="0">
                  <c:v>3</c:v>
                </c:pt>
              </c:strCache>
            </c:strRef>
          </c:tx>
          <c:invertIfNegative val="0"/>
          <c:dLbls>
            <c:numFmt formatCode="#,##0.0" sourceLinked="0"/>
            <c:showLegendKey val="0"/>
            <c:showVal val="1"/>
            <c:showCatName val="0"/>
            <c:showSerName val="0"/>
            <c:showPercent val="0"/>
            <c:showBubbleSize val="0"/>
            <c:showLeaderLines val="0"/>
          </c:dLbls>
          <c:cat>
            <c:strRef>
              <c:f>[1]UDP13!$P$13:$S$13</c:f>
              <c:strCache>
                <c:ptCount val="4"/>
                <c:pt idx="0">
                  <c:v>_x0014_18 a 29 años (26.6%)</c:v>
                </c:pt>
                <c:pt idx="1">
                  <c:v>_x0014_30 a 45 años (31.0%)</c:v>
                </c:pt>
                <c:pt idx="2">
                  <c:v>_x0014_46 a 60 años (25.2%)</c:v>
                </c:pt>
                <c:pt idx="3">
                  <c:v>_x0015_61 años y más (17.2%)</c:v>
                </c:pt>
              </c:strCache>
            </c:strRef>
          </c:cat>
          <c:val>
            <c:numRef>
              <c:f>[1]UDP13!$P$16:$S$16</c:f>
              <c:numCache>
                <c:formatCode>General</c:formatCode>
                <c:ptCount val="4"/>
                <c:pt idx="0">
                  <c:v>4.123711340206185</c:v>
                </c:pt>
                <c:pt idx="1">
                  <c:v>3.83480825958702</c:v>
                </c:pt>
                <c:pt idx="2">
                  <c:v>4.347826086956521</c:v>
                </c:pt>
                <c:pt idx="3">
                  <c:v>4.25531914893617</c:v>
                </c:pt>
              </c:numCache>
            </c:numRef>
          </c:val>
        </c:ser>
        <c:ser>
          <c:idx val="3"/>
          <c:order val="3"/>
          <c:tx>
            <c:strRef>
              <c:f>[1]UDP13!$O$17</c:f>
              <c:strCache>
                <c:ptCount val="1"/>
                <c:pt idx="0">
                  <c:v>4</c:v>
                </c:pt>
              </c:strCache>
            </c:strRef>
          </c:tx>
          <c:invertIfNegative val="0"/>
          <c:dLbls>
            <c:numFmt formatCode="#,##0.0" sourceLinked="0"/>
            <c:showLegendKey val="0"/>
            <c:showVal val="1"/>
            <c:showCatName val="0"/>
            <c:showSerName val="0"/>
            <c:showPercent val="0"/>
            <c:showBubbleSize val="0"/>
            <c:showLeaderLines val="0"/>
          </c:dLbls>
          <c:cat>
            <c:strRef>
              <c:f>[1]UDP13!$P$13:$S$13</c:f>
              <c:strCache>
                <c:ptCount val="4"/>
                <c:pt idx="0">
                  <c:v>_x0014_18 a 29 años (26.6%)</c:v>
                </c:pt>
                <c:pt idx="1">
                  <c:v>_x0014_30 a 45 años (31.0%)</c:v>
                </c:pt>
                <c:pt idx="2">
                  <c:v>_x0014_46 a 60 años (25.2%)</c:v>
                </c:pt>
                <c:pt idx="3">
                  <c:v>_x0015_61 años y más (17.2%)</c:v>
                </c:pt>
              </c:strCache>
            </c:strRef>
          </c:cat>
          <c:val>
            <c:numRef>
              <c:f>[1]UDP13!$P$17:$S$17</c:f>
              <c:numCache>
                <c:formatCode>General</c:formatCode>
                <c:ptCount val="4"/>
                <c:pt idx="0">
                  <c:v>14.7766323024055</c:v>
                </c:pt>
                <c:pt idx="1">
                  <c:v>17.10914454277286</c:v>
                </c:pt>
                <c:pt idx="2">
                  <c:v>11.95652173913044</c:v>
                </c:pt>
                <c:pt idx="3">
                  <c:v>10.63829787234043</c:v>
                </c:pt>
              </c:numCache>
            </c:numRef>
          </c:val>
        </c:ser>
        <c:ser>
          <c:idx val="4"/>
          <c:order val="4"/>
          <c:tx>
            <c:strRef>
              <c:f>[1]UDP13!$O$18</c:f>
              <c:strCache>
                <c:ptCount val="1"/>
                <c:pt idx="0">
                  <c:v>5</c:v>
                </c:pt>
              </c:strCache>
            </c:strRef>
          </c:tx>
          <c:invertIfNegative val="0"/>
          <c:dLbls>
            <c:dLbl>
              <c:idx val="0"/>
              <c:numFmt formatCode="#,##0.0" sourceLinked="0"/>
              <c:spPr/>
              <c:txPr>
                <a:bodyPr/>
                <a:lstStyle/>
                <a:p>
                  <a:pPr>
                    <a:defRPr/>
                  </a:pPr>
                  <a:endParaRPr lang="es-ES"/>
                </a:p>
              </c:txPr>
              <c:showLegendKey val="0"/>
              <c:showVal val="1"/>
              <c:showCatName val="0"/>
              <c:showSerName val="0"/>
              <c:showPercent val="0"/>
              <c:showBubbleSize val="0"/>
            </c:dLbl>
            <c:numFmt formatCode="#,##0.0" sourceLinked="0"/>
            <c:showLegendKey val="0"/>
            <c:showVal val="1"/>
            <c:showCatName val="0"/>
            <c:showSerName val="0"/>
            <c:showPercent val="0"/>
            <c:showBubbleSize val="0"/>
            <c:showLeaderLines val="0"/>
          </c:dLbls>
          <c:cat>
            <c:strRef>
              <c:f>[1]UDP13!$P$13:$S$13</c:f>
              <c:strCache>
                <c:ptCount val="4"/>
                <c:pt idx="0">
                  <c:v>_x0014_18 a 29 años (26.6%)</c:v>
                </c:pt>
                <c:pt idx="1">
                  <c:v>_x0014_30 a 45 años (31.0%)</c:v>
                </c:pt>
                <c:pt idx="2">
                  <c:v>_x0014_46 a 60 años (25.2%)</c:v>
                </c:pt>
                <c:pt idx="3">
                  <c:v>_x0015_61 años y más (17.2%)</c:v>
                </c:pt>
              </c:strCache>
            </c:strRef>
          </c:cat>
          <c:val>
            <c:numRef>
              <c:f>[1]UDP13!$P$18:$S$18</c:f>
              <c:numCache>
                <c:formatCode>General</c:formatCode>
                <c:ptCount val="4"/>
                <c:pt idx="0">
                  <c:v>20.27491408934708</c:v>
                </c:pt>
                <c:pt idx="1">
                  <c:v>23.00884955752212</c:v>
                </c:pt>
                <c:pt idx="2">
                  <c:v>26.08695652173913</c:v>
                </c:pt>
                <c:pt idx="3">
                  <c:v>30.85106382978723</c:v>
                </c:pt>
              </c:numCache>
            </c:numRef>
          </c:val>
        </c:ser>
        <c:ser>
          <c:idx val="5"/>
          <c:order val="5"/>
          <c:tx>
            <c:strRef>
              <c:f>[1]UDP13!$O$19</c:f>
              <c:strCache>
                <c:ptCount val="1"/>
                <c:pt idx="0">
                  <c:v>6</c:v>
                </c:pt>
              </c:strCache>
            </c:strRef>
          </c:tx>
          <c:invertIfNegative val="0"/>
          <c:dLbls>
            <c:numFmt formatCode="#,##0.0" sourceLinked="0"/>
            <c:showLegendKey val="0"/>
            <c:showVal val="1"/>
            <c:showCatName val="0"/>
            <c:showSerName val="0"/>
            <c:showPercent val="0"/>
            <c:showBubbleSize val="0"/>
            <c:showLeaderLines val="0"/>
          </c:dLbls>
          <c:cat>
            <c:strRef>
              <c:f>[1]UDP13!$P$13:$S$13</c:f>
              <c:strCache>
                <c:ptCount val="4"/>
                <c:pt idx="0">
                  <c:v>_x0014_18 a 29 años (26.6%)</c:v>
                </c:pt>
                <c:pt idx="1">
                  <c:v>_x0014_30 a 45 años (31.0%)</c:v>
                </c:pt>
                <c:pt idx="2">
                  <c:v>_x0014_46 a 60 años (25.2%)</c:v>
                </c:pt>
                <c:pt idx="3">
                  <c:v>_x0015_61 años y más (17.2%)</c:v>
                </c:pt>
              </c:strCache>
            </c:strRef>
          </c:cat>
          <c:val>
            <c:numRef>
              <c:f>[1]UDP13!$P$19:$S$19</c:f>
              <c:numCache>
                <c:formatCode>General</c:formatCode>
                <c:ptCount val="4"/>
                <c:pt idx="0">
                  <c:v>31.27147766323024</c:v>
                </c:pt>
                <c:pt idx="1">
                  <c:v>24.18879056047198</c:v>
                </c:pt>
                <c:pt idx="2">
                  <c:v>23.91304347826087</c:v>
                </c:pt>
                <c:pt idx="3">
                  <c:v>23.93617021276596</c:v>
                </c:pt>
              </c:numCache>
            </c:numRef>
          </c:val>
        </c:ser>
        <c:ser>
          <c:idx val="6"/>
          <c:order val="6"/>
          <c:tx>
            <c:strRef>
              <c:f>[1]UDP13!$O$20</c:f>
              <c:strCache>
                <c:ptCount val="1"/>
                <c:pt idx="0">
                  <c:v>Muy Importante</c:v>
                </c:pt>
              </c:strCache>
            </c:strRef>
          </c:tx>
          <c:invertIfNegative val="0"/>
          <c:dLbls>
            <c:numFmt formatCode="#,##0.0" sourceLinked="0"/>
            <c:showLegendKey val="0"/>
            <c:showVal val="1"/>
            <c:showCatName val="0"/>
            <c:showSerName val="0"/>
            <c:showPercent val="0"/>
            <c:showBubbleSize val="0"/>
            <c:showLeaderLines val="0"/>
          </c:dLbls>
          <c:cat>
            <c:strRef>
              <c:f>[1]UDP13!$P$13:$S$13</c:f>
              <c:strCache>
                <c:ptCount val="4"/>
                <c:pt idx="0">
                  <c:v>_x0014_18 a 29 años (26.6%)</c:v>
                </c:pt>
                <c:pt idx="1">
                  <c:v>_x0014_30 a 45 años (31.0%)</c:v>
                </c:pt>
                <c:pt idx="2">
                  <c:v>_x0014_46 a 60 años (25.2%)</c:v>
                </c:pt>
                <c:pt idx="3">
                  <c:v>_x0015_61 años y más (17.2%)</c:v>
                </c:pt>
              </c:strCache>
            </c:strRef>
          </c:cat>
          <c:val>
            <c:numRef>
              <c:f>[1]UDP13!$P$20:$S$20</c:f>
              <c:numCache>
                <c:formatCode>General</c:formatCode>
                <c:ptCount val="4"/>
                <c:pt idx="0">
                  <c:v>28.1786941580756</c:v>
                </c:pt>
                <c:pt idx="1">
                  <c:v>28.023598820059</c:v>
                </c:pt>
                <c:pt idx="2">
                  <c:v>29.71014492753623</c:v>
                </c:pt>
                <c:pt idx="3">
                  <c:v>26.06382978723405</c:v>
                </c:pt>
              </c:numCache>
            </c:numRef>
          </c:val>
        </c:ser>
        <c:dLbls>
          <c:showLegendKey val="0"/>
          <c:showVal val="1"/>
          <c:showCatName val="0"/>
          <c:showSerName val="0"/>
          <c:showPercent val="0"/>
          <c:showBubbleSize val="0"/>
        </c:dLbls>
        <c:gapWidth val="75"/>
        <c:axId val="1571861896"/>
        <c:axId val="1571864712"/>
      </c:barChart>
      <c:catAx>
        <c:axId val="1571861896"/>
        <c:scaling>
          <c:orientation val="minMax"/>
        </c:scaling>
        <c:delete val="0"/>
        <c:axPos val="b"/>
        <c:majorTickMark val="none"/>
        <c:minorTickMark val="none"/>
        <c:tickLblPos val="nextTo"/>
        <c:crossAx val="1571864712"/>
        <c:crosses val="autoZero"/>
        <c:auto val="1"/>
        <c:lblAlgn val="ctr"/>
        <c:lblOffset val="100"/>
        <c:noMultiLvlLbl val="0"/>
      </c:catAx>
      <c:valAx>
        <c:axId val="1571864712"/>
        <c:scaling>
          <c:orientation val="minMax"/>
          <c:max val="100.0"/>
        </c:scaling>
        <c:delete val="0"/>
        <c:axPos val="l"/>
        <c:numFmt formatCode="General" sourceLinked="1"/>
        <c:majorTickMark val="none"/>
        <c:minorTickMark val="none"/>
        <c:tickLblPos val="nextTo"/>
        <c:crossAx val="1571861896"/>
        <c:crosses val="autoZero"/>
        <c:crossBetween val="between"/>
      </c:valAx>
    </c:plotArea>
    <c:legend>
      <c:legendPos val="b"/>
      <c:layout>
        <c:manualLayout>
          <c:xMode val="edge"/>
          <c:yMode val="edge"/>
          <c:x val="0.291870723449418"/>
          <c:y val="0.851311244384817"/>
          <c:w val="0.485941803410403"/>
          <c:h val="0.0706018959735464"/>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742179969231133"/>
          <c:y val="0.166744810307802"/>
          <c:w val="0.909449414043525"/>
          <c:h val="0.561020341207349"/>
        </c:manualLayout>
      </c:layout>
      <c:barChart>
        <c:barDir val="col"/>
        <c:grouping val="clustered"/>
        <c:varyColors val="0"/>
        <c:ser>
          <c:idx val="0"/>
          <c:order val="0"/>
          <c:tx>
            <c:strRef>
              <c:f>[1]UDP13!$W$14</c:f>
              <c:strCache>
                <c:ptCount val="1"/>
                <c:pt idx="0">
                  <c:v>Nada Importante</c:v>
                </c:pt>
              </c:strCache>
            </c:strRef>
          </c:tx>
          <c:invertIfNegative val="0"/>
          <c:dLbls>
            <c:numFmt formatCode="#,##0.0" sourceLinked="0"/>
            <c:showLegendKey val="0"/>
            <c:showVal val="1"/>
            <c:showCatName val="0"/>
            <c:showSerName val="0"/>
            <c:showPercent val="0"/>
            <c:showBubbleSize val="0"/>
            <c:showLeaderLines val="0"/>
          </c:dLbls>
          <c:cat>
            <c:strRef>
              <c:f>[1]UDP13!$X$13:$AA$13</c:f>
              <c:strCache>
                <c:ptCount val="4"/>
                <c:pt idx="0">
                  <c:v>_x000e_Básica (16.1%)</c:v>
                </c:pt>
                <c:pt idx="1">
                  <c:v>_x000d_Media (48.5%)</c:v>
                </c:pt>
                <c:pt idx="2">
                  <c:v>_x0014_Técnica Sup. (16.5%)</c:v>
                </c:pt>
                <c:pt idx="3">
                  <c:v>_x0015_Universitaria (18.9%)</c:v>
                </c:pt>
              </c:strCache>
            </c:strRef>
          </c:cat>
          <c:val>
            <c:numRef>
              <c:f>[1]UDP13!$X$14:$AA$14</c:f>
              <c:numCache>
                <c:formatCode>General</c:formatCode>
                <c:ptCount val="4"/>
                <c:pt idx="0">
                  <c:v>2.285714285714286</c:v>
                </c:pt>
                <c:pt idx="1">
                  <c:v>2.462121212121212</c:v>
                </c:pt>
                <c:pt idx="2">
                  <c:v>2.793296089385475</c:v>
                </c:pt>
                <c:pt idx="3">
                  <c:v>2.427184466019417</c:v>
                </c:pt>
              </c:numCache>
            </c:numRef>
          </c:val>
        </c:ser>
        <c:ser>
          <c:idx val="1"/>
          <c:order val="1"/>
          <c:tx>
            <c:strRef>
              <c:f>[1]UDP13!$W$15</c:f>
              <c:strCache>
                <c:ptCount val="1"/>
                <c:pt idx="0">
                  <c:v>2</c:v>
                </c:pt>
              </c:strCache>
            </c:strRef>
          </c:tx>
          <c:invertIfNegative val="0"/>
          <c:dLbls>
            <c:numFmt formatCode="#,##0.0" sourceLinked="0"/>
            <c:showLegendKey val="0"/>
            <c:showVal val="1"/>
            <c:showCatName val="0"/>
            <c:showSerName val="0"/>
            <c:showPercent val="0"/>
            <c:showBubbleSize val="0"/>
            <c:showLeaderLines val="0"/>
          </c:dLbls>
          <c:cat>
            <c:strRef>
              <c:f>[1]UDP13!$X$13:$AA$13</c:f>
              <c:strCache>
                <c:ptCount val="4"/>
                <c:pt idx="0">
                  <c:v>_x000e_Básica (16.1%)</c:v>
                </c:pt>
                <c:pt idx="1">
                  <c:v>_x000d_Media (48.5%)</c:v>
                </c:pt>
                <c:pt idx="2">
                  <c:v>_x0014_Técnica Sup. (16.5%)</c:v>
                </c:pt>
                <c:pt idx="3">
                  <c:v>_x0015_Universitaria (18.9%)</c:v>
                </c:pt>
              </c:strCache>
            </c:strRef>
          </c:cat>
          <c:val>
            <c:numRef>
              <c:f>[1]UDP13!$X$15:$AA$15</c:f>
              <c:numCache>
                <c:formatCode>General</c:formatCode>
                <c:ptCount val="4"/>
                <c:pt idx="0">
                  <c:v>1.142857142857143</c:v>
                </c:pt>
                <c:pt idx="1">
                  <c:v>0.946969696969697</c:v>
                </c:pt>
                <c:pt idx="2">
                  <c:v>1.11731843575419</c:v>
                </c:pt>
                <c:pt idx="3">
                  <c:v>0.485436893203883</c:v>
                </c:pt>
              </c:numCache>
            </c:numRef>
          </c:val>
        </c:ser>
        <c:ser>
          <c:idx val="2"/>
          <c:order val="2"/>
          <c:tx>
            <c:strRef>
              <c:f>[1]UDP13!$W$16</c:f>
              <c:strCache>
                <c:ptCount val="1"/>
                <c:pt idx="0">
                  <c:v>3</c:v>
                </c:pt>
              </c:strCache>
            </c:strRef>
          </c:tx>
          <c:invertIfNegative val="0"/>
          <c:dLbls>
            <c:numFmt formatCode="#,##0.0" sourceLinked="0"/>
            <c:showLegendKey val="0"/>
            <c:showVal val="1"/>
            <c:showCatName val="0"/>
            <c:showSerName val="0"/>
            <c:showPercent val="0"/>
            <c:showBubbleSize val="0"/>
            <c:showLeaderLines val="0"/>
          </c:dLbls>
          <c:cat>
            <c:strRef>
              <c:f>[1]UDP13!$X$13:$AA$13</c:f>
              <c:strCache>
                <c:ptCount val="4"/>
                <c:pt idx="0">
                  <c:v>_x000e_Básica (16.1%)</c:v>
                </c:pt>
                <c:pt idx="1">
                  <c:v>_x000d_Media (48.5%)</c:v>
                </c:pt>
                <c:pt idx="2">
                  <c:v>_x0014_Técnica Sup. (16.5%)</c:v>
                </c:pt>
                <c:pt idx="3">
                  <c:v>_x0015_Universitaria (18.9%)</c:v>
                </c:pt>
              </c:strCache>
            </c:strRef>
          </c:cat>
          <c:val>
            <c:numRef>
              <c:f>[1]UDP13!$X$16:$AA$16</c:f>
              <c:numCache>
                <c:formatCode>General</c:formatCode>
                <c:ptCount val="4"/>
                <c:pt idx="0">
                  <c:v>4.571428571428571</c:v>
                </c:pt>
                <c:pt idx="1">
                  <c:v>3.598484848484849</c:v>
                </c:pt>
                <c:pt idx="2">
                  <c:v>6.145251396648044</c:v>
                </c:pt>
                <c:pt idx="3">
                  <c:v>2.912621359223301</c:v>
                </c:pt>
              </c:numCache>
            </c:numRef>
          </c:val>
        </c:ser>
        <c:ser>
          <c:idx val="3"/>
          <c:order val="3"/>
          <c:tx>
            <c:strRef>
              <c:f>[1]UDP13!$W$17</c:f>
              <c:strCache>
                <c:ptCount val="1"/>
                <c:pt idx="0">
                  <c:v>4</c:v>
                </c:pt>
              </c:strCache>
            </c:strRef>
          </c:tx>
          <c:invertIfNegative val="0"/>
          <c:dLbls>
            <c:numFmt formatCode="#,##0.0" sourceLinked="0"/>
            <c:showLegendKey val="0"/>
            <c:showVal val="1"/>
            <c:showCatName val="0"/>
            <c:showSerName val="0"/>
            <c:showPercent val="0"/>
            <c:showBubbleSize val="0"/>
            <c:showLeaderLines val="0"/>
          </c:dLbls>
          <c:cat>
            <c:strRef>
              <c:f>[1]UDP13!$X$13:$AA$13</c:f>
              <c:strCache>
                <c:ptCount val="4"/>
                <c:pt idx="0">
                  <c:v>_x000e_Básica (16.1%)</c:v>
                </c:pt>
                <c:pt idx="1">
                  <c:v>_x000d_Media (48.5%)</c:v>
                </c:pt>
                <c:pt idx="2">
                  <c:v>_x0014_Técnica Sup. (16.5%)</c:v>
                </c:pt>
                <c:pt idx="3">
                  <c:v>_x0015_Universitaria (18.9%)</c:v>
                </c:pt>
              </c:strCache>
            </c:strRef>
          </c:cat>
          <c:val>
            <c:numRef>
              <c:f>[1]UDP13!$X$17:$AA$17</c:f>
              <c:numCache>
                <c:formatCode>General</c:formatCode>
                <c:ptCount val="4"/>
                <c:pt idx="0">
                  <c:v>14.85714285714286</c:v>
                </c:pt>
                <c:pt idx="1">
                  <c:v>15.15151515151515</c:v>
                </c:pt>
                <c:pt idx="2">
                  <c:v>13.96648044692737</c:v>
                </c:pt>
                <c:pt idx="3">
                  <c:v>11.16504854368932</c:v>
                </c:pt>
              </c:numCache>
            </c:numRef>
          </c:val>
        </c:ser>
        <c:ser>
          <c:idx val="4"/>
          <c:order val="4"/>
          <c:tx>
            <c:strRef>
              <c:f>[1]UDP13!$W$18</c:f>
              <c:strCache>
                <c:ptCount val="1"/>
                <c:pt idx="0">
                  <c:v>5</c:v>
                </c:pt>
              </c:strCache>
            </c:strRef>
          </c:tx>
          <c:invertIfNegative val="0"/>
          <c:dLbls>
            <c:numFmt formatCode="#,##0.0" sourceLinked="0"/>
            <c:showLegendKey val="0"/>
            <c:showVal val="1"/>
            <c:showCatName val="0"/>
            <c:showSerName val="0"/>
            <c:showPercent val="0"/>
            <c:showBubbleSize val="0"/>
            <c:showLeaderLines val="0"/>
          </c:dLbls>
          <c:cat>
            <c:strRef>
              <c:f>[1]UDP13!$X$13:$AA$13</c:f>
              <c:strCache>
                <c:ptCount val="4"/>
                <c:pt idx="0">
                  <c:v>_x000e_Básica (16.1%)</c:v>
                </c:pt>
                <c:pt idx="1">
                  <c:v>_x000d_Media (48.5%)</c:v>
                </c:pt>
                <c:pt idx="2">
                  <c:v>_x0014_Técnica Sup. (16.5%)</c:v>
                </c:pt>
                <c:pt idx="3">
                  <c:v>_x0015_Universitaria (18.9%)</c:v>
                </c:pt>
              </c:strCache>
            </c:strRef>
          </c:cat>
          <c:val>
            <c:numRef>
              <c:f>[1]UDP13!$X$18:$AA$18</c:f>
              <c:numCache>
                <c:formatCode>General</c:formatCode>
                <c:ptCount val="4"/>
                <c:pt idx="0">
                  <c:v>28.0</c:v>
                </c:pt>
                <c:pt idx="1">
                  <c:v>25.18939393939394</c:v>
                </c:pt>
                <c:pt idx="2">
                  <c:v>23.46368715083799</c:v>
                </c:pt>
                <c:pt idx="3">
                  <c:v>19.90291262135922</c:v>
                </c:pt>
              </c:numCache>
            </c:numRef>
          </c:val>
        </c:ser>
        <c:ser>
          <c:idx val="5"/>
          <c:order val="5"/>
          <c:tx>
            <c:strRef>
              <c:f>[1]UDP13!$W$19</c:f>
              <c:strCache>
                <c:ptCount val="1"/>
                <c:pt idx="0">
                  <c:v>6</c:v>
                </c:pt>
              </c:strCache>
            </c:strRef>
          </c:tx>
          <c:invertIfNegative val="0"/>
          <c:dLbls>
            <c:numFmt formatCode="#,##0.0" sourceLinked="0"/>
            <c:showLegendKey val="0"/>
            <c:showVal val="1"/>
            <c:showCatName val="0"/>
            <c:showSerName val="0"/>
            <c:showPercent val="0"/>
            <c:showBubbleSize val="0"/>
            <c:showLeaderLines val="0"/>
          </c:dLbls>
          <c:cat>
            <c:strRef>
              <c:f>[1]UDP13!$X$13:$AA$13</c:f>
              <c:strCache>
                <c:ptCount val="4"/>
                <c:pt idx="0">
                  <c:v>_x000e_Básica (16.1%)</c:v>
                </c:pt>
                <c:pt idx="1">
                  <c:v>_x000d_Media (48.5%)</c:v>
                </c:pt>
                <c:pt idx="2">
                  <c:v>_x0014_Técnica Sup. (16.5%)</c:v>
                </c:pt>
                <c:pt idx="3">
                  <c:v>_x0015_Universitaria (18.9%)</c:v>
                </c:pt>
              </c:strCache>
            </c:strRef>
          </c:cat>
          <c:val>
            <c:numRef>
              <c:f>[1]UDP13!$X$19:$AA$19</c:f>
              <c:numCache>
                <c:formatCode>General</c:formatCode>
                <c:ptCount val="4"/>
                <c:pt idx="0">
                  <c:v>24.57142857142857</c:v>
                </c:pt>
                <c:pt idx="1">
                  <c:v>22.91666666666666</c:v>
                </c:pt>
                <c:pt idx="2">
                  <c:v>29.60893854748604</c:v>
                </c:pt>
                <c:pt idx="3">
                  <c:v>31.06796116504854</c:v>
                </c:pt>
              </c:numCache>
            </c:numRef>
          </c:val>
        </c:ser>
        <c:ser>
          <c:idx val="6"/>
          <c:order val="6"/>
          <c:tx>
            <c:strRef>
              <c:f>[1]UDP13!$W$20</c:f>
              <c:strCache>
                <c:ptCount val="1"/>
                <c:pt idx="0">
                  <c:v>Muy Importante</c:v>
                </c:pt>
              </c:strCache>
            </c:strRef>
          </c:tx>
          <c:invertIfNegative val="0"/>
          <c:dLbls>
            <c:numFmt formatCode="#,##0.0" sourceLinked="0"/>
            <c:showLegendKey val="0"/>
            <c:showVal val="1"/>
            <c:showCatName val="0"/>
            <c:showSerName val="0"/>
            <c:showPercent val="0"/>
            <c:showBubbleSize val="0"/>
            <c:showLeaderLines val="0"/>
          </c:dLbls>
          <c:cat>
            <c:strRef>
              <c:f>[1]UDP13!$X$13:$AA$13</c:f>
              <c:strCache>
                <c:ptCount val="4"/>
                <c:pt idx="0">
                  <c:v>_x000e_Básica (16.1%)</c:v>
                </c:pt>
                <c:pt idx="1">
                  <c:v>_x000d_Media (48.5%)</c:v>
                </c:pt>
                <c:pt idx="2">
                  <c:v>_x0014_Técnica Sup. (16.5%)</c:v>
                </c:pt>
                <c:pt idx="3">
                  <c:v>_x0015_Universitaria (18.9%)</c:v>
                </c:pt>
              </c:strCache>
            </c:strRef>
          </c:cat>
          <c:val>
            <c:numRef>
              <c:f>[1]UDP13!$X$20:$AA$20</c:f>
              <c:numCache>
                <c:formatCode>General</c:formatCode>
                <c:ptCount val="4"/>
                <c:pt idx="0">
                  <c:v>24.57142857142857</c:v>
                </c:pt>
                <c:pt idx="1">
                  <c:v>29.73484848484848</c:v>
                </c:pt>
                <c:pt idx="2">
                  <c:v>22.90502793296089</c:v>
                </c:pt>
                <c:pt idx="3">
                  <c:v>32.03883495145632</c:v>
                </c:pt>
              </c:numCache>
            </c:numRef>
          </c:val>
        </c:ser>
        <c:dLbls>
          <c:showLegendKey val="0"/>
          <c:showVal val="1"/>
          <c:showCatName val="0"/>
          <c:showSerName val="0"/>
          <c:showPercent val="0"/>
          <c:showBubbleSize val="0"/>
        </c:dLbls>
        <c:gapWidth val="75"/>
        <c:axId val="1572138664"/>
        <c:axId val="1572393144"/>
      </c:barChart>
      <c:catAx>
        <c:axId val="1572138664"/>
        <c:scaling>
          <c:orientation val="minMax"/>
        </c:scaling>
        <c:delete val="0"/>
        <c:axPos val="b"/>
        <c:majorTickMark val="none"/>
        <c:minorTickMark val="none"/>
        <c:tickLblPos val="nextTo"/>
        <c:crossAx val="1572393144"/>
        <c:crosses val="autoZero"/>
        <c:auto val="1"/>
        <c:lblAlgn val="ctr"/>
        <c:lblOffset val="100"/>
        <c:noMultiLvlLbl val="0"/>
      </c:catAx>
      <c:valAx>
        <c:axId val="1572393144"/>
        <c:scaling>
          <c:orientation val="minMax"/>
          <c:max val="100.0"/>
        </c:scaling>
        <c:delete val="0"/>
        <c:axPos val="l"/>
        <c:numFmt formatCode="General" sourceLinked="1"/>
        <c:majorTickMark val="none"/>
        <c:minorTickMark val="none"/>
        <c:tickLblPos val="nextTo"/>
        <c:crossAx val="1572138664"/>
        <c:crosses val="autoZero"/>
        <c:crossBetween val="between"/>
      </c:valAx>
    </c:plotArea>
    <c:legend>
      <c:legendPos val="b"/>
      <c:layout>
        <c:manualLayout>
          <c:xMode val="edge"/>
          <c:yMode val="edge"/>
          <c:x val="0.2530465188846"/>
          <c:y val="0.825005753644968"/>
          <c:w val="0.528056804206863"/>
          <c:h val="0.0701908009532254"/>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1214568809271"/>
          <c:y val="0.174949522614021"/>
          <c:w val="0.877773014762839"/>
          <c:h val="0.547677888090076"/>
        </c:manualLayout>
      </c:layout>
      <c:barChart>
        <c:barDir val="col"/>
        <c:grouping val="clustered"/>
        <c:varyColors val="0"/>
        <c:ser>
          <c:idx val="0"/>
          <c:order val="0"/>
          <c:tx>
            <c:strRef>
              <c:f>[1]UDP13!$AL$14</c:f>
              <c:strCache>
                <c:ptCount val="1"/>
                <c:pt idx="0">
                  <c:v>Nada Importante</c:v>
                </c:pt>
              </c:strCache>
            </c:strRef>
          </c:tx>
          <c:invertIfNegative val="0"/>
          <c:dLbls>
            <c:numFmt formatCode="#,##0.0" sourceLinked="0"/>
            <c:showLegendKey val="0"/>
            <c:showVal val="1"/>
            <c:showCatName val="0"/>
            <c:showSerName val="0"/>
            <c:showPercent val="0"/>
            <c:showBubbleSize val="0"/>
            <c:showLeaderLines val="0"/>
          </c:dLbls>
          <c:cat>
            <c:strRef>
              <c:f>[1]UDP13!$AM$13:$AN$13</c:f>
              <c:strCache>
                <c:ptCount val="2"/>
                <c:pt idx="0">
                  <c:v>_x0013_Sí Pertenece (5.8%)</c:v>
                </c:pt>
                <c:pt idx="1">
                  <c:v>_x0014_No Pertenece (94.2%)</c:v>
                </c:pt>
              </c:strCache>
            </c:strRef>
          </c:cat>
          <c:val>
            <c:numRef>
              <c:f>[1]UDP13!$AM$14:$AN$14</c:f>
              <c:numCache>
                <c:formatCode>General</c:formatCode>
                <c:ptCount val="2"/>
                <c:pt idx="0">
                  <c:v>2.424830261881668</c:v>
                </c:pt>
                <c:pt idx="1">
                  <c:v>3.174603174603174</c:v>
                </c:pt>
              </c:numCache>
            </c:numRef>
          </c:val>
        </c:ser>
        <c:ser>
          <c:idx val="1"/>
          <c:order val="1"/>
          <c:tx>
            <c:strRef>
              <c:f>[1]UDP13!$AL$15</c:f>
              <c:strCache>
                <c:ptCount val="1"/>
                <c:pt idx="0">
                  <c:v>2</c:v>
                </c:pt>
              </c:strCache>
            </c:strRef>
          </c:tx>
          <c:invertIfNegative val="0"/>
          <c:dLbls>
            <c:numFmt formatCode="#,##0.0" sourceLinked="0"/>
            <c:showLegendKey val="0"/>
            <c:showVal val="1"/>
            <c:showCatName val="0"/>
            <c:showSerName val="0"/>
            <c:showPercent val="0"/>
            <c:showBubbleSize val="0"/>
            <c:showLeaderLines val="0"/>
          </c:dLbls>
          <c:cat>
            <c:strRef>
              <c:f>[1]UDP13!$AM$13:$AN$13</c:f>
              <c:strCache>
                <c:ptCount val="2"/>
                <c:pt idx="0">
                  <c:v>_x0013_Sí Pertenece (5.8%)</c:v>
                </c:pt>
                <c:pt idx="1">
                  <c:v>_x0014_No Pertenece (94.2%)</c:v>
                </c:pt>
              </c:strCache>
            </c:strRef>
          </c:cat>
          <c:val>
            <c:numRef>
              <c:f>[1]UDP13!$AM$15:$AN$15</c:f>
              <c:numCache>
                <c:formatCode>General</c:formatCode>
                <c:ptCount val="2"/>
                <c:pt idx="0">
                  <c:v>0.969932104752667</c:v>
                </c:pt>
                <c:pt idx="1">
                  <c:v>0.0</c:v>
                </c:pt>
              </c:numCache>
            </c:numRef>
          </c:val>
        </c:ser>
        <c:ser>
          <c:idx val="2"/>
          <c:order val="2"/>
          <c:tx>
            <c:strRef>
              <c:f>[1]UDP13!$AL$16</c:f>
              <c:strCache>
                <c:ptCount val="1"/>
                <c:pt idx="0">
                  <c:v>3</c:v>
                </c:pt>
              </c:strCache>
            </c:strRef>
          </c:tx>
          <c:invertIfNegative val="0"/>
          <c:dLbls>
            <c:numFmt formatCode="#,##0.0" sourceLinked="0"/>
            <c:showLegendKey val="0"/>
            <c:showVal val="1"/>
            <c:showCatName val="0"/>
            <c:showSerName val="0"/>
            <c:showPercent val="0"/>
            <c:showBubbleSize val="0"/>
            <c:showLeaderLines val="0"/>
          </c:dLbls>
          <c:cat>
            <c:strRef>
              <c:f>[1]UDP13!$AM$13:$AN$13</c:f>
              <c:strCache>
                <c:ptCount val="2"/>
                <c:pt idx="0">
                  <c:v>_x0013_Sí Pertenece (5.8%)</c:v>
                </c:pt>
                <c:pt idx="1">
                  <c:v>_x0014_No Pertenece (94.2%)</c:v>
                </c:pt>
              </c:strCache>
            </c:strRef>
          </c:cat>
          <c:val>
            <c:numRef>
              <c:f>[1]UDP13!$AM$16:$AN$16</c:f>
              <c:numCache>
                <c:formatCode>General</c:formatCode>
                <c:ptCount val="2"/>
                <c:pt idx="0">
                  <c:v>4.17070805043647</c:v>
                </c:pt>
                <c:pt idx="1">
                  <c:v>1.587301587301587</c:v>
                </c:pt>
              </c:numCache>
            </c:numRef>
          </c:val>
        </c:ser>
        <c:ser>
          <c:idx val="3"/>
          <c:order val="3"/>
          <c:tx>
            <c:strRef>
              <c:f>[1]UDP13!$AL$17</c:f>
              <c:strCache>
                <c:ptCount val="1"/>
                <c:pt idx="0">
                  <c:v>4</c:v>
                </c:pt>
              </c:strCache>
            </c:strRef>
          </c:tx>
          <c:invertIfNegative val="0"/>
          <c:dLbls>
            <c:numFmt formatCode="#,##0.0" sourceLinked="0"/>
            <c:showLegendKey val="0"/>
            <c:showVal val="1"/>
            <c:showCatName val="0"/>
            <c:showSerName val="0"/>
            <c:showPercent val="0"/>
            <c:showBubbleSize val="0"/>
            <c:showLeaderLines val="0"/>
          </c:dLbls>
          <c:cat>
            <c:strRef>
              <c:f>[1]UDP13!$AM$13:$AN$13</c:f>
              <c:strCache>
                <c:ptCount val="2"/>
                <c:pt idx="0">
                  <c:v>_x0013_Sí Pertenece (5.8%)</c:v>
                </c:pt>
                <c:pt idx="1">
                  <c:v>_x0014_No Pertenece (94.2%)</c:v>
                </c:pt>
              </c:strCache>
            </c:strRef>
          </c:cat>
          <c:val>
            <c:numRef>
              <c:f>[1]UDP13!$AM$17:$AN$17</c:f>
              <c:numCache>
                <c:formatCode>General</c:formatCode>
                <c:ptCount val="2"/>
                <c:pt idx="0">
                  <c:v>14.16100872938894</c:v>
                </c:pt>
                <c:pt idx="1">
                  <c:v>12.6984126984127</c:v>
                </c:pt>
              </c:numCache>
            </c:numRef>
          </c:val>
        </c:ser>
        <c:ser>
          <c:idx val="4"/>
          <c:order val="4"/>
          <c:tx>
            <c:strRef>
              <c:f>[1]UDP13!$AL$18</c:f>
              <c:strCache>
                <c:ptCount val="1"/>
                <c:pt idx="0">
                  <c:v>5</c:v>
                </c:pt>
              </c:strCache>
            </c:strRef>
          </c:tx>
          <c:invertIfNegative val="0"/>
          <c:dLbls>
            <c:numFmt formatCode="#,##0.0" sourceLinked="0"/>
            <c:showLegendKey val="0"/>
            <c:showVal val="1"/>
            <c:showCatName val="0"/>
            <c:showSerName val="0"/>
            <c:showPercent val="0"/>
            <c:showBubbleSize val="0"/>
            <c:showLeaderLines val="0"/>
          </c:dLbls>
          <c:cat>
            <c:strRef>
              <c:f>[1]UDP13!$AM$13:$AN$13</c:f>
              <c:strCache>
                <c:ptCount val="2"/>
                <c:pt idx="0">
                  <c:v>_x0013_Sí Pertenece (5.8%)</c:v>
                </c:pt>
                <c:pt idx="1">
                  <c:v>_x0014_No Pertenece (94.2%)</c:v>
                </c:pt>
              </c:strCache>
            </c:strRef>
          </c:cat>
          <c:val>
            <c:numRef>
              <c:f>[1]UDP13!$AM$18:$AN$18</c:f>
              <c:numCache>
                <c:formatCode>General</c:formatCode>
                <c:ptCount val="2"/>
                <c:pt idx="0">
                  <c:v>24.63627546071775</c:v>
                </c:pt>
                <c:pt idx="1">
                  <c:v>20.63492063492063</c:v>
                </c:pt>
              </c:numCache>
            </c:numRef>
          </c:val>
        </c:ser>
        <c:ser>
          <c:idx val="5"/>
          <c:order val="5"/>
          <c:tx>
            <c:strRef>
              <c:f>[1]UDP13!$AL$19</c:f>
              <c:strCache>
                <c:ptCount val="1"/>
                <c:pt idx="0">
                  <c:v>6</c:v>
                </c:pt>
              </c:strCache>
            </c:strRef>
          </c:tx>
          <c:invertIfNegative val="0"/>
          <c:dLbls>
            <c:numFmt formatCode="#,##0.0" sourceLinked="0"/>
            <c:showLegendKey val="0"/>
            <c:showVal val="1"/>
            <c:showCatName val="0"/>
            <c:showSerName val="0"/>
            <c:showPercent val="0"/>
            <c:showBubbleSize val="0"/>
            <c:showLeaderLines val="0"/>
          </c:dLbls>
          <c:cat>
            <c:strRef>
              <c:f>[1]UDP13!$AM$13:$AN$13</c:f>
              <c:strCache>
                <c:ptCount val="2"/>
                <c:pt idx="0">
                  <c:v>_x0013_Sí Pertenece (5.8%)</c:v>
                </c:pt>
                <c:pt idx="1">
                  <c:v>_x0014_No Pertenece (94.2%)</c:v>
                </c:pt>
              </c:strCache>
            </c:strRef>
          </c:cat>
          <c:val>
            <c:numRef>
              <c:f>[1]UDP13!$AM$19:$AN$19</c:f>
              <c:numCache>
                <c:formatCode>General</c:formatCode>
                <c:ptCount val="2"/>
                <c:pt idx="0">
                  <c:v>26.09117361784675</c:v>
                </c:pt>
                <c:pt idx="1">
                  <c:v>23.80952380952381</c:v>
                </c:pt>
              </c:numCache>
            </c:numRef>
          </c:val>
        </c:ser>
        <c:ser>
          <c:idx val="6"/>
          <c:order val="6"/>
          <c:tx>
            <c:strRef>
              <c:f>[1]UDP13!$AL$20</c:f>
              <c:strCache>
                <c:ptCount val="1"/>
                <c:pt idx="0">
                  <c:v>Muy Importante</c:v>
                </c:pt>
              </c:strCache>
            </c:strRef>
          </c:tx>
          <c:invertIfNegative val="0"/>
          <c:dLbls>
            <c:numFmt formatCode="#,##0.0" sourceLinked="0"/>
            <c:showLegendKey val="0"/>
            <c:showVal val="1"/>
            <c:showCatName val="0"/>
            <c:showSerName val="0"/>
            <c:showPercent val="0"/>
            <c:showBubbleSize val="0"/>
            <c:showLeaderLines val="0"/>
          </c:dLbls>
          <c:cat>
            <c:strRef>
              <c:f>[1]UDP13!$AM$13:$AN$13</c:f>
              <c:strCache>
                <c:ptCount val="2"/>
                <c:pt idx="0">
                  <c:v>_x0013_Sí Pertenece (5.8%)</c:v>
                </c:pt>
                <c:pt idx="1">
                  <c:v>_x0014_No Pertenece (94.2%)</c:v>
                </c:pt>
              </c:strCache>
            </c:strRef>
          </c:cat>
          <c:val>
            <c:numRef>
              <c:f>[1]UDP13!$AM$20:$AN$20</c:f>
              <c:numCache>
                <c:formatCode>General</c:formatCode>
                <c:ptCount val="2"/>
                <c:pt idx="0">
                  <c:v>27.54607177497575</c:v>
                </c:pt>
                <c:pt idx="1">
                  <c:v>38.0952380952381</c:v>
                </c:pt>
              </c:numCache>
            </c:numRef>
          </c:val>
        </c:ser>
        <c:dLbls>
          <c:showLegendKey val="0"/>
          <c:showVal val="1"/>
          <c:showCatName val="0"/>
          <c:showSerName val="0"/>
          <c:showPercent val="0"/>
          <c:showBubbleSize val="0"/>
        </c:dLbls>
        <c:gapWidth val="75"/>
        <c:axId val="1572496840"/>
        <c:axId val="1572442504"/>
      </c:barChart>
      <c:catAx>
        <c:axId val="1572496840"/>
        <c:scaling>
          <c:orientation val="minMax"/>
        </c:scaling>
        <c:delete val="0"/>
        <c:axPos val="b"/>
        <c:majorTickMark val="none"/>
        <c:minorTickMark val="none"/>
        <c:tickLblPos val="nextTo"/>
        <c:crossAx val="1572442504"/>
        <c:crosses val="autoZero"/>
        <c:auto val="1"/>
        <c:lblAlgn val="ctr"/>
        <c:lblOffset val="100"/>
        <c:noMultiLvlLbl val="0"/>
      </c:catAx>
      <c:valAx>
        <c:axId val="1572442504"/>
        <c:scaling>
          <c:orientation val="minMax"/>
          <c:max val="100.0"/>
        </c:scaling>
        <c:delete val="0"/>
        <c:axPos val="l"/>
        <c:numFmt formatCode="General" sourceLinked="1"/>
        <c:majorTickMark val="none"/>
        <c:minorTickMark val="none"/>
        <c:tickLblPos val="nextTo"/>
        <c:crossAx val="1572496840"/>
        <c:crosses val="autoZero"/>
        <c:crossBetween val="between"/>
      </c:valAx>
    </c:plotArea>
    <c:legend>
      <c:legendPos val="b"/>
      <c:layout>
        <c:manualLayout>
          <c:xMode val="edge"/>
          <c:yMode val="edge"/>
          <c:x val="0.23768261775301"/>
          <c:y val="0.840573015329606"/>
          <c:w val="0.572390256375546"/>
          <c:h val="0.0698856555973981"/>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743102234171948"/>
          <c:y val="0.1495665289454"/>
          <c:w val="0.91175249435284"/>
          <c:h val="0.596318498807848"/>
        </c:manualLayout>
      </c:layout>
      <c:barChart>
        <c:barDir val="col"/>
        <c:grouping val="clustered"/>
        <c:varyColors val="0"/>
        <c:ser>
          <c:idx val="0"/>
          <c:order val="0"/>
          <c:tx>
            <c:strRef>
              <c:f>[1]UDP13!$AX$14</c:f>
              <c:strCache>
                <c:ptCount val="1"/>
                <c:pt idx="0">
                  <c:v>Nada Importante</c:v>
                </c:pt>
              </c:strCache>
            </c:strRef>
          </c:tx>
          <c:invertIfNegative val="0"/>
          <c:dLbls>
            <c:numFmt formatCode="#,##0.0" sourceLinked="0"/>
            <c:showLegendKey val="0"/>
            <c:showVal val="1"/>
            <c:showCatName val="0"/>
            <c:showSerName val="0"/>
            <c:showPercent val="0"/>
            <c:showBubbleSize val="0"/>
            <c:showLeaderLines val="0"/>
          </c:dLbls>
          <c:cat>
            <c:strRef>
              <c:f>[1]UDP13!$AY$13:$BB$13</c:f>
              <c:strCache>
                <c:ptCount val="4"/>
                <c:pt idx="0">
                  <c:v>_x0011_Izquierda (15.0%)</c:v>
                </c:pt>
                <c:pt idx="1">
                  <c:v>_x000e_Centro (48.3%)</c:v>
                </c:pt>
                <c:pt idx="2">
                  <c:v>_x000e_Derecha (9.2%)</c:v>
                </c:pt>
                <c:pt idx="3">
                  <c:v>_x000f_Ninguno (27.4%)</c:v>
                </c:pt>
              </c:strCache>
            </c:strRef>
          </c:cat>
          <c:val>
            <c:numRef>
              <c:f>[1]UDP13!$AY$14:$BB$14</c:f>
              <c:numCache>
                <c:formatCode>General</c:formatCode>
                <c:ptCount val="4"/>
                <c:pt idx="0">
                  <c:v>0.0</c:v>
                </c:pt>
                <c:pt idx="1">
                  <c:v>0.946969696969697</c:v>
                </c:pt>
                <c:pt idx="2">
                  <c:v>3.96039603960396</c:v>
                </c:pt>
                <c:pt idx="3">
                  <c:v>5.666666666666667</c:v>
                </c:pt>
              </c:numCache>
            </c:numRef>
          </c:val>
        </c:ser>
        <c:ser>
          <c:idx val="1"/>
          <c:order val="1"/>
          <c:tx>
            <c:strRef>
              <c:f>[1]UDP13!$AX$15</c:f>
              <c:strCache>
                <c:ptCount val="1"/>
                <c:pt idx="0">
                  <c:v>2</c:v>
                </c:pt>
              </c:strCache>
            </c:strRef>
          </c:tx>
          <c:invertIfNegative val="0"/>
          <c:dLbls>
            <c:numFmt formatCode="#,##0.0" sourceLinked="0"/>
            <c:showLegendKey val="0"/>
            <c:showVal val="1"/>
            <c:showCatName val="0"/>
            <c:showSerName val="0"/>
            <c:showPercent val="0"/>
            <c:showBubbleSize val="0"/>
            <c:showLeaderLines val="0"/>
          </c:dLbls>
          <c:cat>
            <c:strRef>
              <c:f>[1]UDP13!$AY$13:$BB$13</c:f>
              <c:strCache>
                <c:ptCount val="4"/>
                <c:pt idx="0">
                  <c:v>_x0011_Izquierda (15.0%)</c:v>
                </c:pt>
                <c:pt idx="1">
                  <c:v>_x000e_Centro (48.3%)</c:v>
                </c:pt>
                <c:pt idx="2">
                  <c:v>_x000e_Derecha (9.2%)</c:v>
                </c:pt>
                <c:pt idx="3">
                  <c:v>_x000f_Ninguno (27.4%)</c:v>
                </c:pt>
              </c:strCache>
            </c:strRef>
          </c:cat>
          <c:val>
            <c:numRef>
              <c:f>[1]UDP13!$AY$15:$BB$15</c:f>
              <c:numCache>
                <c:formatCode>General</c:formatCode>
                <c:ptCount val="4"/>
                <c:pt idx="0">
                  <c:v>1.219512195121951</c:v>
                </c:pt>
                <c:pt idx="1">
                  <c:v>1.325757575757576</c:v>
                </c:pt>
                <c:pt idx="2">
                  <c:v>0.99009900990099</c:v>
                </c:pt>
                <c:pt idx="3">
                  <c:v>0.333333333333333</c:v>
                </c:pt>
              </c:numCache>
            </c:numRef>
          </c:val>
        </c:ser>
        <c:ser>
          <c:idx val="2"/>
          <c:order val="2"/>
          <c:tx>
            <c:strRef>
              <c:f>[1]UDP13!$AX$16</c:f>
              <c:strCache>
                <c:ptCount val="1"/>
                <c:pt idx="0">
                  <c:v>3</c:v>
                </c:pt>
              </c:strCache>
            </c:strRef>
          </c:tx>
          <c:invertIfNegative val="0"/>
          <c:dLbls>
            <c:numFmt formatCode="#,##0.0" sourceLinked="0"/>
            <c:showLegendKey val="0"/>
            <c:showVal val="1"/>
            <c:showCatName val="0"/>
            <c:showSerName val="0"/>
            <c:showPercent val="0"/>
            <c:showBubbleSize val="0"/>
            <c:showLeaderLines val="0"/>
          </c:dLbls>
          <c:cat>
            <c:strRef>
              <c:f>[1]UDP13!$AY$13:$BB$13</c:f>
              <c:strCache>
                <c:ptCount val="4"/>
                <c:pt idx="0">
                  <c:v>_x0011_Izquierda (15.0%)</c:v>
                </c:pt>
                <c:pt idx="1">
                  <c:v>_x000e_Centro (48.3%)</c:v>
                </c:pt>
                <c:pt idx="2">
                  <c:v>_x000e_Derecha (9.2%)</c:v>
                </c:pt>
                <c:pt idx="3">
                  <c:v>_x000f_Ninguno (27.4%)</c:v>
                </c:pt>
              </c:strCache>
            </c:strRef>
          </c:cat>
          <c:val>
            <c:numRef>
              <c:f>[1]UDP13!$AY$16:$BB$16</c:f>
              <c:numCache>
                <c:formatCode>General</c:formatCode>
                <c:ptCount val="4"/>
                <c:pt idx="0">
                  <c:v>3.048780487804878</c:v>
                </c:pt>
                <c:pt idx="1">
                  <c:v>5.113636363636364</c:v>
                </c:pt>
                <c:pt idx="2">
                  <c:v>5.940594059405941</c:v>
                </c:pt>
                <c:pt idx="3">
                  <c:v>1.666666666666667</c:v>
                </c:pt>
              </c:numCache>
            </c:numRef>
          </c:val>
        </c:ser>
        <c:ser>
          <c:idx val="3"/>
          <c:order val="3"/>
          <c:tx>
            <c:strRef>
              <c:f>[1]UDP13!$AX$17</c:f>
              <c:strCache>
                <c:ptCount val="1"/>
                <c:pt idx="0">
                  <c:v>4</c:v>
                </c:pt>
              </c:strCache>
            </c:strRef>
          </c:tx>
          <c:invertIfNegative val="0"/>
          <c:dLbls>
            <c:numFmt formatCode="#,##0.0" sourceLinked="0"/>
            <c:showLegendKey val="0"/>
            <c:showVal val="1"/>
            <c:showCatName val="0"/>
            <c:showSerName val="0"/>
            <c:showPercent val="0"/>
            <c:showBubbleSize val="0"/>
            <c:showLeaderLines val="0"/>
          </c:dLbls>
          <c:cat>
            <c:strRef>
              <c:f>[1]UDP13!$AY$13:$BB$13</c:f>
              <c:strCache>
                <c:ptCount val="4"/>
                <c:pt idx="0">
                  <c:v>_x0011_Izquierda (15.0%)</c:v>
                </c:pt>
                <c:pt idx="1">
                  <c:v>_x000e_Centro (48.3%)</c:v>
                </c:pt>
                <c:pt idx="2">
                  <c:v>_x000e_Derecha (9.2%)</c:v>
                </c:pt>
                <c:pt idx="3">
                  <c:v>_x000f_Ninguno (27.4%)</c:v>
                </c:pt>
              </c:strCache>
            </c:strRef>
          </c:cat>
          <c:val>
            <c:numRef>
              <c:f>[1]UDP13!$AY$17:$BB$17</c:f>
              <c:numCache>
                <c:formatCode>General</c:formatCode>
                <c:ptCount val="4"/>
                <c:pt idx="0">
                  <c:v>9.75609756097561</c:v>
                </c:pt>
                <c:pt idx="1">
                  <c:v>17.42424242424243</c:v>
                </c:pt>
                <c:pt idx="2">
                  <c:v>10.89108910891089</c:v>
                </c:pt>
                <c:pt idx="3">
                  <c:v>11.66666666666667</c:v>
                </c:pt>
              </c:numCache>
            </c:numRef>
          </c:val>
        </c:ser>
        <c:ser>
          <c:idx val="4"/>
          <c:order val="4"/>
          <c:tx>
            <c:strRef>
              <c:f>[1]UDP13!$AX$18</c:f>
              <c:strCache>
                <c:ptCount val="1"/>
                <c:pt idx="0">
                  <c:v>5</c:v>
                </c:pt>
              </c:strCache>
            </c:strRef>
          </c:tx>
          <c:invertIfNegative val="0"/>
          <c:dLbls>
            <c:numFmt formatCode="#,##0.0" sourceLinked="0"/>
            <c:showLegendKey val="0"/>
            <c:showVal val="1"/>
            <c:showCatName val="0"/>
            <c:showSerName val="0"/>
            <c:showPercent val="0"/>
            <c:showBubbleSize val="0"/>
            <c:showLeaderLines val="0"/>
          </c:dLbls>
          <c:cat>
            <c:strRef>
              <c:f>[1]UDP13!$AY$13:$BB$13</c:f>
              <c:strCache>
                <c:ptCount val="4"/>
                <c:pt idx="0">
                  <c:v>_x0011_Izquierda (15.0%)</c:v>
                </c:pt>
                <c:pt idx="1">
                  <c:v>_x000e_Centro (48.3%)</c:v>
                </c:pt>
                <c:pt idx="2">
                  <c:v>_x000e_Derecha (9.2%)</c:v>
                </c:pt>
                <c:pt idx="3">
                  <c:v>_x000f_Ninguno (27.4%)</c:v>
                </c:pt>
              </c:strCache>
            </c:strRef>
          </c:cat>
          <c:val>
            <c:numRef>
              <c:f>[1]UDP13!$AY$18:$BB$18</c:f>
              <c:numCache>
                <c:formatCode>General</c:formatCode>
                <c:ptCount val="4"/>
                <c:pt idx="0">
                  <c:v>23.78048780487805</c:v>
                </c:pt>
                <c:pt idx="1">
                  <c:v>21.78030303030303</c:v>
                </c:pt>
                <c:pt idx="2">
                  <c:v>23.76237623762376</c:v>
                </c:pt>
                <c:pt idx="3">
                  <c:v>29.66666666666667</c:v>
                </c:pt>
              </c:numCache>
            </c:numRef>
          </c:val>
        </c:ser>
        <c:ser>
          <c:idx val="5"/>
          <c:order val="5"/>
          <c:tx>
            <c:strRef>
              <c:f>[1]UDP13!$AX$19</c:f>
              <c:strCache>
                <c:ptCount val="1"/>
                <c:pt idx="0">
                  <c:v>6</c:v>
                </c:pt>
              </c:strCache>
            </c:strRef>
          </c:tx>
          <c:invertIfNegative val="0"/>
          <c:dLbls>
            <c:numFmt formatCode="#,##0.0" sourceLinked="0"/>
            <c:showLegendKey val="0"/>
            <c:showVal val="1"/>
            <c:showCatName val="0"/>
            <c:showSerName val="0"/>
            <c:showPercent val="0"/>
            <c:showBubbleSize val="0"/>
            <c:showLeaderLines val="0"/>
          </c:dLbls>
          <c:cat>
            <c:strRef>
              <c:f>[1]UDP13!$AY$13:$BB$13</c:f>
              <c:strCache>
                <c:ptCount val="4"/>
                <c:pt idx="0">
                  <c:v>_x0011_Izquierda (15.0%)</c:v>
                </c:pt>
                <c:pt idx="1">
                  <c:v>_x000e_Centro (48.3%)</c:v>
                </c:pt>
                <c:pt idx="2">
                  <c:v>_x000e_Derecha (9.2%)</c:v>
                </c:pt>
                <c:pt idx="3">
                  <c:v>_x000f_Ninguno (27.4%)</c:v>
                </c:pt>
              </c:strCache>
            </c:strRef>
          </c:cat>
          <c:val>
            <c:numRef>
              <c:f>[1]UDP13!$AY$19:$BB$19</c:f>
              <c:numCache>
                <c:formatCode>General</c:formatCode>
                <c:ptCount val="4"/>
                <c:pt idx="0">
                  <c:v>18.90243902439024</c:v>
                </c:pt>
                <c:pt idx="1">
                  <c:v>26.89393939393939</c:v>
                </c:pt>
                <c:pt idx="2">
                  <c:v>31.68316831683168</c:v>
                </c:pt>
                <c:pt idx="3">
                  <c:v>26.33333333333333</c:v>
                </c:pt>
              </c:numCache>
            </c:numRef>
          </c:val>
        </c:ser>
        <c:ser>
          <c:idx val="6"/>
          <c:order val="6"/>
          <c:tx>
            <c:strRef>
              <c:f>[1]UDP13!$AX$20</c:f>
              <c:strCache>
                <c:ptCount val="1"/>
                <c:pt idx="0">
                  <c:v>Muy Importante</c:v>
                </c:pt>
              </c:strCache>
            </c:strRef>
          </c:tx>
          <c:invertIfNegative val="0"/>
          <c:dLbls>
            <c:numFmt formatCode="#,##0.0" sourceLinked="0"/>
            <c:showLegendKey val="0"/>
            <c:showVal val="1"/>
            <c:showCatName val="0"/>
            <c:showSerName val="0"/>
            <c:showPercent val="0"/>
            <c:showBubbleSize val="0"/>
            <c:showLeaderLines val="0"/>
          </c:dLbls>
          <c:cat>
            <c:strRef>
              <c:f>[1]UDP13!$AY$13:$BB$13</c:f>
              <c:strCache>
                <c:ptCount val="4"/>
                <c:pt idx="0">
                  <c:v>_x0011_Izquierda (15.0%)</c:v>
                </c:pt>
                <c:pt idx="1">
                  <c:v>_x000e_Centro (48.3%)</c:v>
                </c:pt>
                <c:pt idx="2">
                  <c:v>_x000e_Derecha (9.2%)</c:v>
                </c:pt>
                <c:pt idx="3">
                  <c:v>_x000f_Ninguno (27.4%)</c:v>
                </c:pt>
              </c:strCache>
            </c:strRef>
          </c:cat>
          <c:val>
            <c:numRef>
              <c:f>[1]UDP13!$AY$20:$BB$20</c:f>
              <c:numCache>
                <c:formatCode>General</c:formatCode>
                <c:ptCount val="4"/>
                <c:pt idx="0">
                  <c:v>43.29268292682926</c:v>
                </c:pt>
                <c:pt idx="1">
                  <c:v>26.51515151515152</c:v>
                </c:pt>
                <c:pt idx="2">
                  <c:v>22.77227722772277</c:v>
                </c:pt>
                <c:pt idx="3">
                  <c:v>24.66666666666667</c:v>
                </c:pt>
              </c:numCache>
            </c:numRef>
          </c:val>
        </c:ser>
        <c:dLbls>
          <c:showLegendKey val="0"/>
          <c:showVal val="1"/>
          <c:showCatName val="0"/>
          <c:showSerName val="0"/>
          <c:showPercent val="0"/>
          <c:showBubbleSize val="0"/>
        </c:dLbls>
        <c:gapWidth val="75"/>
        <c:axId val="1499805160"/>
        <c:axId val="1499807976"/>
      </c:barChart>
      <c:catAx>
        <c:axId val="1499805160"/>
        <c:scaling>
          <c:orientation val="minMax"/>
        </c:scaling>
        <c:delete val="0"/>
        <c:axPos val="b"/>
        <c:majorTickMark val="none"/>
        <c:minorTickMark val="none"/>
        <c:tickLblPos val="nextTo"/>
        <c:crossAx val="1499807976"/>
        <c:crosses val="autoZero"/>
        <c:auto val="1"/>
        <c:lblAlgn val="ctr"/>
        <c:lblOffset val="100"/>
        <c:noMultiLvlLbl val="0"/>
      </c:catAx>
      <c:valAx>
        <c:axId val="1499807976"/>
        <c:scaling>
          <c:orientation val="minMax"/>
          <c:max val="100.0"/>
        </c:scaling>
        <c:delete val="0"/>
        <c:axPos val="l"/>
        <c:numFmt formatCode="General" sourceLinked="1"/>
        <c:majorTickMark val="none"/>
        <c:minorTickMark val="none"/>
        <c:tickLblPos val="nextTo"/>
        <c:crossAx val="1499805160"/>
        <c:crosses val="autoZero"/>
        <c:crossBetween val="between"/>
      </c:valAx>
    </c:plotArea>
    <c:legend>
      <c:legendPos val="b"/>
      <c:layout>
        <c:manualLayout>
          <c:xMode val="edge"/>
          <c:yMode val="edge"/>
          <c:x val="0.243982672897595"/>
          <c:y val="0.839317781960286"/>
          <c:w val="0.555394965873168"/>
          <c:h val="0.0674421111087291"/>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75163113052523"/>
          <c:y val="0.157570474648724"/>
          <c:w val="0.907163931999934"/>
          <c:h val="0.594975384944703"/>
        </c:manualLayout>
      </c:layout>
      <c:barChart>
        <c:barDir val="col"/>
        <c:grouping val="clustered"/>
        <c:varyColors val="0"/>
        <c:ser>
          <c:idx val="0"/>
          <c:order val="0"/>
          <c:tx>
            <c:strRef>
              <c:f>[1]UDP13!$CN$14</c:f>
              <c:strCache>
                <c:ptCount val="1"/>
                <c:pt idx="0">
                  <c:v>Nada Importante</c:v>
                </c:pt>
              </c:strCache>
            </c:strRef>
          </c:tx>
          <c:invertIfNegative val="0"/>
          <c:dLbls>
            <c:numFmt formatCode="#,##0.0" sourceLinked="0"/>
            <c:showLegendKey val="0"/>
            <c:showVal val="1"/>
            <c:showCatName val="0"/>
            <c:showSerName val="0"/>
            <c:showPercent val="0"/>
            <c:showBubbleSize val="0"/>
            <c:showLeaderLines val="0"/>
          </c:dLbls>
          <c:cat>
            <c:strRef>
              <c:f>[1]UDP13!$CO$13:$CR$13</c:f>
              <c:strCache>
                <c:ptCount val="4"/>
                <c:pt idx="0">
                  <c:v>_x000c_Nada (41.3%)</c:v>
                </c:pt>
                <c:pt idx="1">
                  <c:v>_x000c_Poco (30.2%)</c:v>
                </c:pt>
                <c:pt idx="2">
                  <c:v>_x000c_Algo (19.2%)</c:v>
                </c:pt>
                <c:pt idx="3">
                  <c:v>_x000c_Mucho (9.3%)</c:v>
                </c:pt>
              </c:strCache>
            </c:strRef>
          </c:cat>
          <c:val>
            <c:numRef>
              <c:f>[1]UDP13!$CO$14:$CR$14</c:f>
              <c:numCache>
                <c:formatCode>General</c:formatCode>
                <c:ptCount val="4"/>
                <c:pt idx="0">
                  <c:v>3.991130820399113</c:v>
                </c:pt>
                <c:pt idx="1">
                  <c:v>1.515151515151515</c:v>
                </c:pt>
                <c:pt idx="2">
                  <c:v>0.956937799043062</c:v>
                </c:pt>
                <c:pt idx="3">
                  <c:v>1.98019801980198</c:v>
                </c:pt>
              </c:numCache>
            </c:numRef>
          </c:val>
        </c:ser>
        <c:ser>
          <c:idx val="1"/>
          <c:order val="1"/>
          <c:tx>
            <c:strRef>
              <c:f>[1]UDP13!$CN$15</c:f>
              <c:strCache>
                <c:ptCount val="1"/>
                <c:pt idx="0">
                  <c:v>2</c:v>
                </c:pt>
              </c:strCache>
            </c:strRef>
          </c:tx>
          <c:invertIfNegative val="0"/>
          <c:dLbls>
            <c:numFmt formatCode="#,##0.0" sourceLinked="0"/>
            <c:showLegendKey val="0"/>
            <c:showVal val="1"/>
            <c:showCatName val="0"/>
            <c:showSerName val="0"/>
            <c:showPercent val="0"/>
            <c:showBubbleSize val="0"/>
            <c:showLeaderLines val="0"/>
          </c:dLbls>
          <c:cat>
            <c:strRef>
              <c:f>[1]UDP13!$CO$13:$CR$13</c:f>
              <c:strCache>
                <c:ptCount val="4"/>
                <c:pt idx="0">
                  <c:v>_x000c_Nada (41.3%)</c:v>
                </c:pt>
                <c:pt idx="1">
                  <c:v>_x000c_Poco (30.2%)</c:v>
                </c:pt>
                <c:pt idx="2">
                  <c:v>_x000c_Algo (19.2%)</c:v>
                </c:pt>
                <c:pt idx="3">
                  <c:v>_x000c_Mucho (9.3%)</c:v>
                </c:pt>
              </c:strCache>
            </c:strRef>
          </c:cat>
          <c:val>
            <c:numRef>
              <c:f>[1]UDP13!$CO$15:$CR$15</c:f>
              <c:numCache>
                <c:formatCode>General</c:formatCode>
                <c:ptCount val="4"/>
                <c:pt idx="0">
                  <c:v>0.665188470066519</c:v>
                </c:pt>
                <c:pt idx="1">
                  <c:v>1.515151515151515</c:v>
                </c:pt>
                <c:pt idx="2">
                  <c:v>0.478468899521531</c:v>
                </c:pt>
                <c:pt idx="3">
                  <c:v>0.99009900990099</c:v>
                </c:pt>
              </c:numCache>
            </c:numRef>
          </c:val>
        </c:ser>
        <c:ser>
          <c:idx val="2"/>
          <c:order val="2"/>
          <c:tx>
            <c:strRef>
              <c:f>[1]UDP13!$CN$16</c:f>
              <c:strCache>
                <c:ptCount val="1"/>
                <c:pt idx="0">
                  <c:v>3</c:v>
                </c:pt>
              </c:strCache>
            </c:strRef>
          </c:tx>
          <c:invertIfNegative val="0"/>
          <c:dLbls>
            <c:numFmt formatCode="#,##0.0" sourceLinked="0"/>
            <c:showLegendKey val="0"/>
            <c:showVal val="1"/>
            <c:showCatName val="0"/>
            <c:showSerName val="0"/>
            <c:showPercent val="0"/>
            <c:showBubbleSize val="0"/>
            <c:showLeaderLines val="0"/>
          </c:dLbls>
          <c:cat>
            <c:strRef>
              <c:f>[1]UDP13!$CO$13:$CR$13</c:f>
              <c:strCache>
                <c:ptCount val="4"/>
                <c:pt idx="0">
                  <c:v>_x000c_Nada (41.3%)</c:v>
                </c:pt>
                <c:pt idx="1">
                  <c:v>_x000c_Poco (30.2%)</c:v>
                </c:pt>
                <c:pt idx="2">
                  <c:v>_x000c_Algo (19.2%)</c:v>
                </c:pt>
                <c:pt idx="3">
                  <c:v>_x000c_Mucho (9.3%)</c:v>
                </c:pt>
              </c:strCache>
            </c:strRef>
          </c:cat>
          <c:val>
            <c:numRef>
              <c:f>[1]UDP13!$CO$16:$CR$16</c:f>
              <c:numCache>
                <c:formatCode>General</c:formatCode>
                <c:ptCount val="4"/>
                <c:pt idx="0">
                  <c:v>3.991130820399113</c:v>
                </c:pt>
                <c:pt idx="1">
                  <c:v>3.333333333333333</c:v>
                </c:pt>
                <c:pt idx="2">
                  <c:v>6.698564593301436</c:v>
                </c:pt>
                <c:pt idx="3">
                  <c:v>1.98019801980198</c:v>
                </c:pt>
              </c:numCache>
            </c:numRef>
          </c:val>
        </c:ser>
        <c:ser>
          <c:idx val="3"/>
          <c:order val="3"/>
          <c:tx>
            <c:strRef>
              <c:f>[1]UDP13!$CN$17</c:f>
              <c:strCache>
                <c:ptCount val="1"/>
                <c:pt idx="0">
                  <c:v>4</c:v>
                </c:pt>
              </c:strCache>
            </c:strRef>
          </c:tx>
          <c:invertIfNegative val="0"/>
          <c:dLbls>
            <c:numFmt formatCode="#,##0.0" sourceLinked="0"/>
            <c:showLegendKey val="0"/>
            <c:showVal val="1"/>
            <c:showCatName val="0"/>
            <c:showSerName val="0"/>
            <c:showPercent val="0"/>
            <c:showBubbleSize val="0"/>
            <c:showLeaderLines val="0"/>
          </c:dLbls>
          <c:cat>
            <c:strRef>
              <c:f>[1]UDP13!$CO$13:$CR$13</c:f>
              <c:strCache>
                <c:ptCount val="4"/>
                <c:pt idx="0">
                  <c:v>_x000c_Nada (41.3%)</c:v>
                </c:pt>
                <c:pt idx="1">
                  <c:v>_x000c_Poco (30.2%)</c:v>
                </c:pt>
                <c:pt idx="2">
                  <c:v>_x000c_Algo (19.2%)</c:v>
                </c:pt>
                <c:pt idx="3">
                  <c:v>_x000c_Mucho (9.3%)</c:v>
                </c:pt>
              </c:strCache>
            </c:strRef>
          </c:cat>
          <c:val>
            <c:numRef>
              <c:f>[1]UDP13!$CO$17:$CR$17</c:f>
              <c:numCache>
                <c:formatCode>General</c:formatCode>
                <c:ptCount val="4"/>
                <c:pt idx="0">
                  <c:v>12.19512195121951</c:v>
                </c:pt>
                <c:pt idx="1">
                  <c:v>16.66666666666666</c:v>
                </c:pt>
                <c:pt idx="2">
                  <c:v>15.78947368421053</c:v>
                </c:pt>
                <c:pt idx="3">
                  <c:v>9.9009900990099</c:v>
                </c:pt>
              </c:numCache>
            </c:numRef>
          </c:val>
        </c:ser>
        <c:ser>
          <c:idx val="4"/>
          <c:order val="4"/>
          <c:tx>
            <c:strRef>
              <c:f>[1]UDP13!$CN$18</c:f>
              <c:strCache>
                <c:ptCount val="1"/>
                <c:pt idx="0">
                  <c:v>5</c:v>
                </c:pt>
              </c:strCache>
            </c:strRef>
          </c:tx>
          <c:invertIfNegative val="0"/>
          <c:dLbls>
            <c:numFmt formatCode="#,##0.0" sourceLinked="0"/>
            <c:showLegendKey val="0"/>
            <c:showVal val="1"/>
            <c:showCatName val="0"/>
            <c:showSerName val="0"/>
            <c:showPercent val="0"/>
            <c:showBubbleSize val="0"/>
            <c:showLeaderLines val="0"/>
          </c:dLbls>
          <c:cat>
            <c:strRef>
              <c:f>[1]UDP13!$CO$13:$CR$13</c:f>
              <c:strCache>
                <c:ptCount val="4"/>
                <c:pt idx="0">
                  <c:v>_x000c_Nada (41.3%)</c:v>
                </c:pt>
                <c:pt idx="1">
                  <c:v>_x000c_Poco (30.2%)</c:v>
                </c:pt>
                <c:pt idx="2">
                  <c:v>_x000c_Algo (19.2%)</c:v>
                </c:pt>
                <c:pt idx="3">
                  <c:v>_x000c_Mucho (9.3%)</c:v>
                </c:pt>
              </c:strCache>
            </c:strRef>
          </c:cat>
          <c:val>
            <c:numRef>
              <c:f>[1]UDP13!$CO$18:$CR$18</c:f>
              <c:numCache>
                <c:formatCode>General</c:formatCode>
                <c:ptCount val="4"/>
                <c:pt idx="0">
                  <c:v>23.7250554323725</c:v>
                </c:pt>
                <c:pt idx="1">
                  <c:v>25.75757575757576</c:v>
                </c:pt>
                <c:pt idx="2">
                  <c:v>24.88038277511962</c:v>
                </c:pt>
                <c:pt idx="3">
                  <c:v>19.8019801980198</c:v>
                </c:pt>
              </c:numCache>
            </c:numRef>
          </c:val>
        </c:ser>
        <c:ser>
          <c:idx val="5"/>
          <c:order val="5"/>
          <c:tx>
            <c:strRef>
              <c:f>[1]UDP13!$CN$19</c:f>
              <c:strCache>
                <c:ptCount val="1"/>
                <c:pt idx="0">
                  <c:v>6</c:v>
                </c:pt>
              </c:strCache>
            </c:strRef>
          </c:tx>
          <c:invertIfNegative val="0"/>
          <c:dLbls>
            <c:numFmt formatCode="#,##0.0" sourceLinked="0"/>
            <c:showLegendKey val="0"/>
            <c:showVal val="1"/>
            <c:showCatName val="0"/>
            <c:showSerName val="0"/>
            <c:showPercent val="0"/>
            <c:showBubbleSize val="0"/>
            <c:showLeaderLines val="0"/>
          </c:dLbls>
          <c:cat>
            <c:strRef>
              <c:f>[1]UDP13!$CO$13:$CR$13</c:f>
              <c:strCache>
                <c:ptCount val="4"/>
                <c:pt idx="0">
                  <c:v>_x000c_Nada (41.3%)</c:v>
                </c:pt>
                <c:pt idx="1">
                  <c:v>_x000c_Poco (30.2%)</c:v>
                </c:pt>
                <c:pt idx="2">
                  <c:v>_x000c_Algo (19.2%)</c:v>
                </c:pt>
                <c:pt idx="3">
                  <c:v>_x000c_Mucho (9.3%)</c:v>
                </c:pt>
              </c:strCache>
            </c:strRef>
          </c:cat>
          <c:val>
            <c:numRef>
              <c:f>[1]UDP13!$CO$19:$CR$19</c:f>
              <c:numCache>
                <c:formatCode>General</c:formatCode>
                <c:ptCount val="4"/>
                <c:pt idx="0">
                  <c:v>25.05543237250554</c:v>
                </c:pt>
                <c:pt idx="1">
                  <c:v>26.66666666666667</c:v>
                </c:pt>
                <c:pt idx="2">
                  <c:v>28.70813397129186</c:v>
                </c:pt>
                <c:pt idx="3">
                  <c:v>21.78217821782178</c:v>
                </c:pt>
              </c:numCache>
            </c:numRef>
          </c:val>
        </c:ser>
        <c:ser>
          <c:idx val="6"/>
          <c:order val="6"/>
          <c:tx>
            <c:strRef>
              <c:f>[1]UDP13!$CN$20</c:f>
              <c:strCache>
                <c:ptCount val="1"/>
                <c:pt idx="0">
                  <c:v>Muy Importante</c:v>
                </c:pt>
              </c:strCache>
            </c:strRef>
          </c:tx>
          <c:invertIfNegative val="0"/>
          <c:dLbls>
            <c:numFmt formatCode="#,##0.0" sourceLinked="0"/>
            <c:showLegendKey val="0"/>
            <c:showVal val="1"/>
            <c:showCatName val="0"/>
            <c:showSerName val="0"/>
            <c:showPercent val="0"/>
            <c:showBubbleSize val="0"/>
            <c:showLeaderLines val="0"/>
          </c:dLbls>
          <c:cat>
            <c:strRef>
              <c:f>[1]UDP13!$CO$13:$CR$13</c:f>
              <c:strCache>
                <c:ptCount val="4"/>
                <c:pt idx="0">
                  <c:v>_x000c_Nada (41.3%)</c:v>
                </c:pt>
                <c:pt idx="1">
                  <c:v>_x000c_Poco (30.2%)</c:v>
                </c:pt>
                <c:pt idx="2">
                  <c:v>_x000c_Algo (19.2%)</c:v>
                </c:pt>
                <c:pt idx="3">
                  <c:v>_x000c_Mucho (9.3%)</c:v>
                </c:pt>
              </c:strCache>
            </c:strRef>
          </c:cat>
          <c:val>
            <c:numRef>
              <c:f>[1]UDP13!$CO$20:$CR$20</c:f>
              <c:numCache>
                <c:formatCode>General</c:formatCode>
                <c:ptCount val="4"/>
                <c:pt idx="0">
                  <c:v>30.3769401330377</c:v>
                </c:pt>
                <c:pt idx="1">
                  <c:v>24.54545454545455</c:v>
                </c:pt>
                <c:pt idx="2">
                  <c:v>22.48803827751196</c:v>
                </c:pt>
                <c:pt idx="3">
                  <c:v>43.56435643564357</c:v>
                </c:pt>
              </c:numCache>
            </c:numRef>
          </c:val>
        </c:ser>
        <c:dLbls>
          <c:showLegendKey val="0"/>
          <c:showVal val="1"/>
          <c:showCatName val="0"/>
          <c:showSerName val="0"/>
          <c:showPercent val="0"/>
          <c:showBubbleSize val="0"/>
        </c:dLbls>
        <c:gapWidth val="75"/>
        <c:axId val="1499882600"/>
        <c:axId val="1499885416"/>
      </c:barChart>
      <c:catAx>
        <c:axId val="1499882600"/>
        <c:scaling>
          <c:orientation val="minMax"/>
        </c:scaling>
        <c:delete val="0"/>
        <c:axPos val="b"/>
        <c:majorTickMark val="none"/>
        <c:minorTickMark val="none"/>
        <c:tickLblPos val="nextTo"/>
        <c:crossAx val="1499885416"/>
        <c:crosses val="autoZero"/>
        <c:auto val="1"/>
        <c:lblAlgn val="ctr"/>
        <c:lblOffset val="100"/>
        <c:noMultiLvlLbl val="0"/>
      </c:catAx>
      <c:valAx>
        <c:axId val="1499885416"/>
        <c:scaling>
          <c:orientation val="minMax"/>
          <c:max val="100.0"/>
        </c:scaling>
        <c:delete val="0"/>
        <c:axPos val="l"/>
        <c:numFmt formatCode="General" sourceLinked="1"/>
        <c:majorTickMark val="none"/>
        <c:minorTickMark val="none"/>
        <c:tickLblPos val="nextTo"/>
        <c:crossAx val="1499882600"/>
        <c:crosses val="autoZero"/>
        <c:crossBetween val="between"/>
      </c:valAx>
    </c:plotArea>
    <c:legend>
      <c:legendPos val="b"/>
      <c:layout>
        <c:manualLayout>
          <c:xMode val="edge"/>
          <c:yMode val="edge"/>
          <c:x val="0.229901655238851"/>
          <c:y val="0.858952131511266"/>
          <c:w val="0.552092249787439"/>
          <c:h val="0.0669737728124155"/>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1263032728644"/>
          <c:y val="0.180921532908865"/>
          <c:w val="0.878479140383695"/>
          <c:h val="0.570335421915393"/>
        </c:manualLayout>
      </c:layout>
      <c:barChart>
        <c:barDir val="col"/>
        <c:grouping val="clustered"/>
        <c:varyColors val="0"/>
        <c:ser>
          <c:idx val="0"/>
          <c:order val="0"/>
          <c:tx>
            <c:strRef>
              <c:f>'UDP2'!$BC$3</c:f>
              <c:strCache>
                <c:ptCount val="1"/>
                <c:pt idx="0">
                  <c:v>Nada Importante</c:v>
                </c:pt>
              </c:strCache>
            </c:strRef>
          </c:tx>
          <c:invertIfNegative val="0"/>
          <c:dLbls>
            <c:numFmt formatCode="#,##0.0" sourceLinked="0"/>
            <c:showLegendKey val="0"/>
            <c:showVal val="1"/>
            <c:showCatName val="0"/>
            <c:showSerName val="0"/>
            <c:showPercent val="0"/>
            <c:showBubbleSize val="0"/>
            <c:showLeaderLines val="0"/>
          </c:dLbls>
          <c:cat>
            <c:strRef>
              <c:f>'UDP2'!$BD$2:$BF$2</c:f>
              <c:strCache>
                <c:ptCount val="3"/>
                <c:pt idx="0">
                  <c:v>Baja Confianza (61.4%)</c:v>
                </c:pt>
                <c:pt idx="1">
                  <c:v>Confianza Media (35.8%)</c:v>
                </c:pt>
                <c:pt idx="2">
                  <c:v>Alta Confianza (2.9%)</c:v>
                </c:pt>
              </c:strCache>
            </c:strRef>
          </c:cat>
          <c:val>
            <c:numRef>
              <c:f>'UDP2'!$BD$3:$BF$3</c:f>
              <c:numCache>
                <c:formatCode>0.0</c:formatCode>
                <c:ptCount val="3"/>
                <c:pt idx="0">
                  <c:v>3.363914373088685</c:v>
                </c:pt>
                <c:pt idx="1">
                  <c:v>1.049868766404199</c:v>
                </c:pt>
                <c:pt idx="2">
                  <c:v>0.0</c:v>
                </c:pt>
              </c:numCache>
            </c:numRef>
          </c:val>
        </c:ser>
        <c:ser>
          <c:idx val="1"/>
          <c:order val="1"/>
          <c:tx>
            <c:strRef>
              <c:f>'UDP2'!$BC$4</c:f>
              <c:strCache>
                <c:ptCount val="1"/>
                <c:pt idx="0">
                  <c:v>2</c:v>
                </c:pt>
              </c:strCache>
            </c:strRef>
          </c:tx>
          <c:invertIfNegative val="0"/>
          <c:dLbls>
            <c:numFmt formatCode="#,##0.0" sourceLinked="0"/>
            <c:showLegendKey val="0"/>
            <c:showVal val="1"/>
            <c:showCatName val="0"/>
            <c:showSerName val="0"/>
            <c:showPercent val="0"/>
            <c:showBubbleSize val="0"/>
            <c:showLeaderLines val="0"/>
          </c:dLbls>
          <c:cat>
            <c:strRef>
              <c:f>'UDP2'!$BD$2:$BF$2</c:f>
              <c:strCache>
                <c:ptCount val="3"/>
                <c:pt idx="0">
                  <c:v>Baja Confianza (61.4%)</c:v>
                </c:pt>
                <c:pt idx="1">
                  <c:v>Confianza Media (35.8%)</c:v>
                </c:pt>
                <c:pt idx="2">
                  <c:v>Alta Confianza (2.9%)</c:v>
                </c:pt>
              </c:strCache>
            </c:strRef>
          </c:cat>
          <c:val>
            <c:numRef>
              <c:f>'UDP2'!$BD$4:$BF$4</c:f>
              <c:numCache>
                <c:formatCode>0.0</c:formatCode>
                <c:ptCount val="3"/>
                <c:pt idx="0">
                  <c:v>0.91743119266055</c:v>
                </c:pt>
                <c:pt idx="1">
                  <c:v>1.049868766404199</c:v>
                </c:pt>
                <c:pt idx="2">
                  <c:v>0.0</c:v>
                </c:pt>
              </c:numCache>
            </c:numRef>
          </c:val>
        </c:ser>
        <c:ser>
          <c:idx val="2"/>
          <c:order val="2"/>
          <c:tx>
            <c:strRef>
              <c:f>'UDP2'!$BC$5</c:f>
              <c:strCache>
                <c:ptCount val="1"/>
                <c:pt idx="0">
                  <c:v>3</c:v>
                </c:pt>
              </c:strCache>
            </c:strRef>
          </c:tx>
          <c:invertIfNegative val="0"/>
          <c:dLbls>
            <c:numFmt formatCode="#,##0.0" sourceLinked="0"/>
            <c:showLegendKey val="0"/>
            <c:showVal val="1"/>
            <c:showCatName val="0"/>
            <c:showSerName val="0"/>
            <c:showPercent val="0"/>
            <c:showBubbleSize val="0"/>
            <c:showLeaderLines val="0"/>
          </c:dLbls>
          <c:cat>
            <c:strRef>
              <c:f>'UDP2'!$BD$2:$BF$2</c:f>
              <c:strCache>
                <c:ptCount val="3"/>
                <c:pt idx="0">
                  <c:v>Baja Confianza (61.4%)</c:v>
                </c:pt>
                <c:pt idx="1">
                  <c:v>Confianza Media (35.8%)</c:v>
                </c:pt>
                <c:pt idx="2">
                  <c:v>Alta Confianza (2.9%)</c:v>
                </c:pt>
              </c:strCache>
            </c:strRef>
          </c:cat>
          <c:val>
            <c:numRef>
              <c:f>'UDP2'!$BD$5:$BF$5</c:f>
              <c:numCache>
                <c:formatCode>0.0</c:formatCode>
                <c:ptCount val="3"/>
                <c:pt idx="0">
                  <c:v>2.752293577981651</c:v>
                </c:pt>
                <c:pt idx="1">
                  <c:v>5.249343832020997</c:v>
                </c:pt>
                <c:pt idx="2">
                  <c:v>9.67741935483871</c:v>
                </c:pt>
              </c:numCache>
            </c:numRef>
          </c:val>
        </c:ser>
        <c:ser>
          <c:idx val="3"/>
          <c:order val="3"/>
          <c:tx>
            <c:strRef>
              <c:f>'UDP2'!$BC$6</c:f>
              <c:strCache>
                <c:ptCount val="1"/>
                <c:pt idx="0">
                  <c:v>4</c:v>
                </c:pt>
              </c:strCache>
            </c:strRef>
          </c:tx>
          <c:invertIfNegative val="0"/>
          <c:dLbls>
            <c:numFmt formatCode="#,##0.0" sourceLinked="0"/>
            <c:showLegendKey val="0"/>
            <c:showVal val="1"/>
            <c:showCatName val="0"/>
            <c:showSerName val="0"/>
            <c:showPercent val="0"/>
            <c:showBubbleSize val="0"/>
            <c:showLeaderLines val="0"/>
          </c:dLbls>
          <c:cat>
            <c:strRef>
              <c:f>'UDP2'!$BD$2:$BF$2</c:f>
              <c:strCache>
                <c:ptCount val="3"/>
                <c:pt idx="0">
                  <c:v>Baja Confianza (61.4%)</c:v>
                </c:pt>
                <c:pt idx="1">
                  <c:v>Confianza Media (35.8%)</c:v>
                </c:pt>
                <c:pt idx="2">
                  <c:v>Alta Confianza (2.9%)</c:v>
                </c:pt>
              </c:strCache>
            </c:strRef>
          </c:cat>
          <c:val>
            <c:numRef>
              <c:f>'UDP2'!$BD$6:$BF$6</c:f>
              <c:numCache>
                <c:formatCode>0.0</c:formatCode>
                <c:ptCount val="3"/>
                <c:pt idx="0">
                  <c:v>13.6085626911315</c:v>
                </c:pt>
                <c:pt idx="1">
                  <c:v>13.91076115485564</c:v>
                </c:pt>
                <c:pt idx="2">
                  <c:v>16.12903225806452</c:v>
                </c:pt>
              </c:numCache>
            </c:numRef>
          </c:val>
        </c:ser>
        <c:ser>
          <c:idx val="4"/>
          <c:order val="4"/>
          <c:tx>
            <c:strRef>
              <c:f>'UDP2'!$BC$7</c:f>
              <c:strCache>
                <c:ptCount val="1"/>
                <c:pt idx="0">
                  <c:v>5</c:v>
                </c:pt>
              </c:strCache>
            </c:strRef>
          </c:tx>
          <c:invertIfNegative val="0"/>
          <c:dLbls>
            <c:numFmt formatCode="#,##0.0" sourceLinked="0"/>
            <c:showLegendKey val="0"/>
            <c:showVal val="1"/>
            <c:showCatName val="0"/>
            <c:showSerName val="0"/>
            <c:showPercent val="0"/>
            <c:showBubbleSize val="0"/>
            <c:showLeaderLines val="0"/>
          </c:dLbls>
          <c:cat>
            <c:strRef>
              <c:f>'UDP2'!$BD$2:$BF$2</c:f>
              <c:strCache>
                <c:ptCount val="3"/>
                <c:pt idx="0">
                  <c:v>Baja Confianza (61.4%)</c:v>
                </c:pt>
                <c:pt idx="1">
                  <c:v>Confianza Media (35.8%)</c:v>
                </c:pt>
                <c:pt idx="2">
                  <c:v>Alta Confianza (2.9%)</c:v>
                </c:pt>
              </c:strCache>
            </c:strRef>
          </c:cat>
          <c:val>
            <c:numRef>
              <c:f>'UDP2'!$BD$7:$BF$7</c:f>
              <c:numCache>
                <c:formatCode>0.0</c:formatCode>
                <c:ptCount val="3"/>
                <c:pt idx="0">
                  <c:v>21.86544342507645</c:v>
                </c:pt>
                <c:pt idx="1">
                  <c:v>28.34645669291339</c:v>
                </c:pt>
                <c:pt idx="2">
                  <c:v>32.25806451612903</c:v>
                </c:pt>
              </c:numCache>
            </c:numRef>
          </c:val>
        </c:ser>
        <c:ser>
          <c:idx val="5"/>
          <c:order val="5"/>
          <c:tx>
            <c:strRef>
              <c:f>'UDP2'!$BC$8</c:f>
              <c:strCache>
                <c:ptCount val="1"/>
                <c:pt idx="0">
                  <c:v>6</c:v>
                </c:pt>
              </c:strCache>
            </c:strRef>
          </c:tx>
          <c:invertIfNegative val="0"/>
          <c:dLbls>
            <c:numFmt formatCode="#,##0.0" sourceLinked="0"/>
            <c:showLegendKey val="0"/>
            <c:showVal val="1"/>
            <c:showCatName val="0"/>
            <c:showSerName val="0"/>
            <c:showPercent val="0"/>
            <c:showBubbleSize val="0"/>
            <c:showLeaderLines val="0"/>
          </c:dLbls>
          <c:cat>
            <c:strRef>
              <c:f>'UDP2'!$BD$2:$BF$2</c:f>
              <c:strCache>
                <c:ptCount val="3"/>
                <c:pt idx="0">
                  <c:v>Baja Confianza (61.4%)</c:v>
                </c:pt>
                <c:pt idx="1">
                  <c:v>Confianza Media (35.8%)</c:v>
                </c:pt>
                <c:pt idx="2">
                  <c:v>Alta Confianza (2.9%)</c:v>
                </c:pt>
              </c:strCache>
            </c:strRef>
          </c:cat>
          <c:val>
            <c:numRef>
              <c:f>'UDP2'!$BD$8:$BF$8</c:f>
              <c:numCache>
                <c:formatCode>0.0</c:formatCode>
                <c:ptCount val="3"/>
                <c:pt idx="0">
                  <c:v>22.782874617737</c:v>
                </c:pt>
                <c:pt idx="1">
                  <c:v>31.23359580052493</c:v>
                </c:pt>
                <c:pt idx="2">
                  <c:v>32.25806451612903</c:v>
                </c:pt>
              </c:numCache>
            </c:numRef>
          </c:val>
        </c:ser>
        <c:ser>
          <c:idx val="6"/>
          <c:order val="6"/>
          <c:tx>
            <c:strRef>
              <c:f>'UDP2'!$BC$9</c:f>
              <c:strCache>
                <c:ptCount val="1"/>
                <c:pt idx="0">
                  <c:v>Muy Importante</c:v>
                </c:pt>
              </c:strCache>
            </c:strRef>
          </c:tx>
          <c:invertIfNegative val="0"/>
          <c:dLbls>
            <c:numFmt formatCode="#,##0.0" sourceLinked="0"/>
            <c:showLegendKey val="0"/>
            <c:showVal val="1"/>
            <c:showCatName val="0"/>
            <c:showSerName val="0"/>
            <c:showPercent val="0"/>
            <c:showBubbleSize val="0"/>
            <c:showLeaderLines val="0"/>
          </c:dLbls>
          <c:cat>
            <c:strRef>
              <c:f>'UDP2'!$BD$2:$BF$2</c:f>
              <c:strCache>
                <c:ptCount val="3"/>
                <c:pt idx="0">
                  <c:v>Baja Confianza (61.4%)</c:v>
                </c:pt>
                <c:pt idx="1">
                  <c:v>Confianza Media (35.8%)</c:v>
                </c:pt>
                <c:pt idx="2">
                  <c:v>Alta Confianza (2.9%)</c:v>
                </c:pt>
              </c:strCache>
            </c:strRef>
          </c:cat>
          <c:val>
            <c:numRef>
              <c:f>'UDP2'!$BD$9:$BF$9</c:f>
              <c:numCache>
                <c:formatCode>0.0</c:formatCode>
                <c:ptCount val="3"/>
                <c:pt idx="0">
                  <c:v>34.70948012232416</c:v>
                </c:pt>
                <c:pt idx="1">
                  <c:v>19.16010498687664</c:v>
                </c:pt>
                <c:pt idx="2">
                  <c:v>9.67741935483871</c:v>
                </c:pt>
              </c:numCache>
            </c:numRef>
          </c:val>
        </c:ser>
        <c:dLbls>
          <c:showLegendKey val="0"/>
          <c:showVal val="1"/>
          <c:showCatName val="0"/>
          <c:showSerName val="0"/>
          <c:showPercent val="0"/>
          <c:showBubbleSize val="0"/>
        </c:dLbls>
        <c:gapWidth val="75"/>
        <c:axId val="1560658280"/>
        <c:axId val="1560505944"/>
      </c:barChart>
      <c:catAx>
        <c:axId val="1560658280"/>
        <c:scaling>
          <c:orientation val="minMax"/>
        </c:scaling>
        <c:delete val="0"/>
        <c:axPos val="b"/>
        <c:majorTickMark val="none"/>
        <c:minorTickMark val="none"/>
        <c:tickLblPos val="nextTo"/>
        <c:crossAx val="1560505944"/>
        <c:crosses val="autoZero"/>
        <c:auto val="1"/>
        <c:lblAlgn val="ctr"/>
        <c:lblOffset val="100"/>
        <c:noMultiLvlLbl val="0"/>
      </c:catAx>
      <c:valAx>
        <c:axId val="1560505944"/>
        <c:scaling>
          <c:orientation val="minMax"/>
          <c:max val="100.0"/>
        </c:scaling>
        <c:delete val="0"/>
        <c:axPos val="l"/>
        <c:numFmt formatCode="0.0" sourceLinked="1"/>
        <c:majorTickMark val="none"/>
        <c:minorTickMark val="none"/>
        <c:tickLblPos val="nextTo"/>
        <c:crossAx val="1560658280"/>
        <c:crosses val="autoZero"/>
        <c:crossBetween val="between"/>
      </c:valAx>
    </c:plotArea>
    <c:legend>
      <c:legendPos val="b"/>
      <c:layout>
        <c:manualLayout>
          <c:xMode val="edge"/>
          <c:yMode val="edge"/>
          <c:x val="0.282093647133887"/>
          <c:y val="0.841719202052471"/>
          <c:w val="0.47714739777378"/>
          <c:h val="0.0666037325444817"/>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4463587819548"/>
          <c:y val="0.154158513326982"/>
          <c:w val="0.872547906433326"/>
          <c:h val="0.609049896962262"/>
        </c:manualLayout>
      </c:layout>
      <c:barChart>
        <c:barDir val="col"/>
        <c:grouping val="clustered"/>
        <c:varyColors val="0"/>
        <c:ser>
          <c:idx val="0"/>
          <c:order val="0"/>
          <c:tx>
            <c:strRef>
              <c:f>'UDP2'!$BU$3</c:f>
              <c:strCache>
                <c:ptCount val="1"/>
                <c:pt idx="0">
                  <c:v>Nada Importante</c:v>
                </c:pt>
              </c:strCache>
            </c:strRef>
          </c:tx>
          <c:invertIfNegative val="0"/>
          <c:dLbls>
            <c:numFmt formatCode="#,##0.0" sourceLinked="0"/>
            <c:showLegendKey val="0"/>
            <c:showVal val="1"/>
            <c:showCatName val="0"/>
            <c:showSerName val="0"/>
            <c:showPercent val="0"/>
            <c:showBubbleSize val="0"/>
            <c:showLeaderLines val="0"/>
          </c:dLbls>
          <c:cat>
            <c:strRef>
              <c:f>'UDP2'!$BV$2:$BW$2</c:f>
              <c:strCache>
                <c:ptCount val="2"/>
                <c:pt idx="0">
                  <c:v>Sí Votó (52.2%)</c:v>
                </c:pt>
                <c:pt idx="1">
                  <c:v>No Votó(47.8%)</c:v>
                </c:pt>
              </c:strCache>
            </c:strRef>
          </c:cat>
          <c:val>
            <c:numRef>
              <c:f>'UDP2'!$BV$3:$BW$3</c:f>
              <c:numCache>
                <c:formatCode>0.00</c:formatCode>
                <c:ptCount val="2"/>
                <c:pt idx="0">
                  <c:v>1.873935264054514</c:v>
                </c:pt>
                <c:pt idx="1">
                  <c:v>2.78810408921933</c:v>
                </c:pt>
              </c:numCache>
            </c:numRef>
          </c:val>
        </c:ser>
        <c:ser>
          <c:idx val="1"/>
          <c:order val="1"/>
          <c:tx>
            <c:strRef>
              <c:f>'UDP2'!$BU$4</c:f>
              <c:strCache>
                <c:ptCount val="1"/>
                <c:pt idx="0">
                  <c:v>2</c:v>
                </c:pt>
              </c:strCache>
            </c:strRef>
          </c:tx>
          <c:invertIfNegative val="0"/>
          <c:dLbls>
            <c:numFmt formatCode="#,##0.0" sourceLinked="0"/>
            <c:showLegendKey val="0"/>
            <c:showVal val="1"/>
            <c:showCatName val="0"/>
            <c:showSerName val="0"/>
            <c:showPercent val="0"/>
            <c:showBubbleSize val="0"/>
            <c:showLeaderLines val="0"/>
          </c:dLbls>
          <c:cat>
            <c:strRef>
              <c:f>'UDP2'!$BV$2:$BW$2</c:f>
              <c:strCache>
                <c:ptCount val="2"/>
                <c:pt idx="0">
                  <c:v>Sí Votó (52.2%)</c:v>
                </c:pt>
                <c:pt idx="1">
                  <c:v>No Votó(47.8%)</c:v>
                </c:pt>
              </c:strCache>
            </c:strRef>
          </c:cat>
          <c:val>
            <c:numRef>
              <c:f>'UDP2'!$BV$4:$BW$4</c:f>
              <c:numCache>
                <c:formatCode>0.00</c:formatCode>
                <c:ptCount val="2"/>
                <c:pt idx="0">
                  <c:v>1.192504258943782</c:v>
                </c:pt>
                <c:pt idx="1">
                  <c:v>0.557620817843866</c:v>
                </c:pt>
              </c:numCache>
            </c:numRef>
          </c:val>
        </c:ser>
        <c:ser>
          <c:idx val="2"/>
          <c:order val="2"/>
          <c:tx>
            <c:strRef>
              <c:f>'UDP2'!$BU$5</c:f>
              <c:strCache>
                <c:ptCount val="1"/>
                <c:pt idx="0">
                  <c:v>3</c:v>
                </c:pt>
              </c:strCache>
            </c:strRef>
          </c:tx>
          <c:invertIfNegative val="0"/>
          <c:dLbls>
            <c:numFmt formatCode="#,##0.0" sourceLinked="0"/>
            <c:showLegendKey val="0"/>
            <c:showVal val="1"/>
            <c:showCatName val="0"/>
            <c:showSerName val="0"/>
            <c:showPercent val="0"/>
            <c:showBubbleSize val="0"/>
            <c:showLeaderLines val="0"/>
          </c:dLbls>
          <c:cat>
            <c:strRef>
              <c:f>'UDP2'!$BV$2:$BW$2</c:f>
              <c:strCache>
                <c:ptCount val="2"/>
                <c:pt idx="0">
                  <c:v>Sí Votó (52.2%)</c:v>
                </c:pt>
                <c:pt idx="1">
                  <c:v>No Votó(47.8%)</c:v>
                </c:pt>
              </c:strCache>
            </c:strRef>
          </c:cat>
          <c:val>
            <c:numRef>
              <c:f>'UDP2'!$BV$5:$BW$5</c:f>
              <c:numCache>
                <c:formatCode>0.00</c:formatCode>
                <c:ptCount val="2"/>
                <c:pt idx="0">
                  <c:v>5.110732538330494</c:v>
                </c:pt>
                <c:pt idx="1">
                  <c:v>2.78810408921933</c:v>
                </c:pt>
              </c:numCache>
            </c:numRef>
          </c:val>
        </c:ser>
        <c:ser>
          <c:idx val="3"/>
          <c:order val="3"/>
          <c:tx>
            <c:strRef>
              <c:f>'UDP2'!$BU$6</c:f>
              <c:strCache>
                <c:ptCount val="1"/>
                <c:pt idx="0">
                  <c:v>4</c:v>
                </c:pt>
              </c:strCache>
            </c:strRef>
          </c:tx>
          <c:invertIfNegative val="0"/>
          <c:dLbls>
            <c:numFmt formatCode="#,##0.0" sourceLinked="0"/>
            <c:showLegendKey val="0"/>
            <c:showVal val="1"/>
            <c:showCatName val="0"/>
            <c:showSerName val="0"/>
            <c:showPercent val="0"/>
            <c:showBubbleSize val="0"/>
            <c:showLeaderLines val="0"/>
          </c:dLbls>
          <c:cat>
            <c:strRef>
              <c:f>'UDP2'!$BV$2:$BW$2</c:f>
              <c:strCache>
                <c:ptCount val="2"/>
                <c:pt idx="0">
                  <c:v>Sí Votó (52.2%)</c:v>
                </c:pt>
                <c:pt idx="1">
                  <c:v>No Votó(47.8%)</c:v>
                </c:pt>
              </c:strCache>
            </c:strRef>
          </c:cat>
          <c:val>
            <c:numRef>
              <c:f>'UDP2'!$BV$6:$BW$6</c:f>
              <c:numCache>
                <c:formatCode>0.00</c:formatCode>
                <c:ptCount val="2"/>
                <c:pt idx="0">
                  <c:v>13.28790459965929</c:v>
                </c:pt>
                <c:pt idx="1">
                  <c:v>11.89591078066914</c:v>
                </c:pt>
              </c:numCache>
            </c:numRef>
          </c:val>
        </c:ser>
        <c:ser>
          <c:idx val="4"/>
          <c:order val="4"/>
          <c:tx>
            <c:strRef>
              <c:f>'UDP2'!$BU$7</c:f>
              <c:strCache>
                <c:ptCount val="1"/>
                <c:pt idx="0">
                  <c:v>5</c:v>
                </c:pt>
              </c:strCache>
            </c:strRef>
          </c:tx>
          <c:invertIfNegative val="0"/>
          <c:dLbls>
            <c:numFmt formatCode="#,##0.0" sourceLinked="0"/>
            <c:showLegendKey val="0"/>
            <c:showVal val="1"/>
            <c:showCatName val="0"/>
            <c:showSerName val="0"/>
            <c:showPercent val="0"/>
            <c:showBubbleSize val="0"/>
            <c:showLeaderLines val="0"/>
          </c:dLbls>
          <c:cat>
            <c:strRef>
              <c:f>'UDP2'!$BV$2:$BW$2</c:f>
              <c:strCache>
                <c:ptCount val="2"/>
                <c:pt idx="0">
                  <c:v>Sí Votó (52.2%)</c:v>
                </c:pt>
                <c:pt idx="1">
                  <c:v>No Votó(47.8%)</c:v>
                </c:pt>
              </c:strCache>
            </c:strRef>
          </c:cat>
          <c:val>
            <c:numRef>
              <c:f>'UDP2'!$BV$7:$BW$7</c:f>
              <c:numCache>
                <c:formatCode>0.00</c:formatCode>
                <c:ptCount val="2"/>
                <c:pt idx="0">
                  <c:v>25.89437819420784</c:v>
                </c:pt>
                <c:pt idx="1">
                  <c:v>20.817843866171</c:v>
                </c:pt>
              </c:numCache>
            </c:numRef>
          </c:val>
        </c:ser>
        <c:ser>
          <c:idx val="5"/>
          <c:order val="5"/>
          <c:tx>
            <c:strRef>
              <c:f>'UDP2'!$BU$8</c:f>
              <c:strCache>
                <c:ptCount val="1"/>
                <c:pt idx="0">
                  <c:v>6</c:v>
                </c:pt>
              </c:strCache>
            </c:strRef>
          </c:tx>
          <c:invertIfNegative val="0"/>
          <c:dLbls>
            <c:numFmt formatCode="#,##0.0" sourceLinked="0"/>
            <c:showLegendKey val="0"/>
            <c:showVal val="1"/>
            <c:showCatName val="0"/>
            <c:showSerName val="0"/>
            <c:showPercent val="0"/>
            <c:showBubbleSize val="0"/>
            <c:showLeaderLines val="0"/>
          </c:dLbls>
          <c:cat>
            <c:strRef>
              <c:f>'UDP2'!$BV$2:$BW$2</c:f>
              <c:strCache>
                <c:ptCount val="2"/>
                <c:pt idx="0">
                  <c:v>Sí Votó (52.2%)</c:v>
                </c:pt>
                <c:pt idx="1">
                  <c:v>No Votó(47.8%)</c:v>
                </c:pt>
              </c:strCache>
            </c:strRef>
          </c:cat>
          <c:val>
            <c:numRef>
              <c:f>'UDP2'!$BV$8:$BW$8</c:f>
              <c:numCache>
                <c:formatCode>0.00</c:formatCode>
                <c:ptCount val="2"/>
                <c:pt idx="0">
                  <c:v>26.40545144804089</c:v>
                </c:pt>
                <c:pt idx="1">
                  <c:v>23.42007434944238</c:v>
                </c:pt>
              </c:numCache>
            </c:numRef>
          </c:val>
        </c:ser>
        <c:ser>
          <c:idx val="6"/>
          <c:order val="6"/>
          <c:tx>
            <c:strRef>
              <c:f>'UDP2'!$BU$9</c:f>
              <c:strCache>
                <c:ptCount val="1"/>
                <c:pt idx="0">
                  <c:v>Muy Importante</c:v>
                </c:pt>
              </c:strCache>
            </c:strRef>
          </c:tx>
          <c:invertIfNegative val="0"/>
          <c:dLbls>
            <c:numFmt formatCode="#,##0.0" sourceLinked="0"/>
            <c:showLegendKey val="0"/>
            <c:showVal val="1"/>
            <c:showCatName val="0"/>
            <c:showSerName val="0"/>
            <c:showPercent val="0"/>
            <c:showBubbleSize val="0"/>
            <c:showLeaderLines val="0"/>
          </c:dLbls>
          <c:cat>
            <c:strRef>
              <c:f>'UDP2'!$BV$2:$BW$2</c:f>
              <c:strCache>
                <c:ptCount val="2"/>
                <c:pt idx="0">
                  <c:v>Sí Votó (52.2%)</c:v>
                </c:pt>
                <c:pt idx="1">
                  <c:v>No Votó(47.8%)</c:v>
                </c:pt>
              </c:strCache>
            </c:strRef>
          </c:cat>
          <c:val>
            <c:numRef>
              <c:f>'UDP2'!$BV$9:$BW$9</c:f>
              <c:numCache>
                <c:formatCode>0.00</c:formatCode>
                <c:ptCount val="2"/>
                <c:pt idx="0">
                  <c:v>26.2350936967632</c:v>
                </c:pt>
                <c:pt idx="1">
                  <c:v>27.88104089219331</c:v>
                </c:pt>
              </c:numCache>
            </c:numRef>
          </c:val>
        </c:ser>
        <c:dLbls>
          <c:showLegendKey val="0"/>
          <c:showVal val="1"/>
          <c:showCatName val="0"/>
          <c:showSerName val="0"/>
          <c:showPercent val="0"/>
          <c:showBubbleSize val="0"/>
        </c:dLbls>
        <c:gapWidth val="75"/>
        <c:axId val="1568392744"/>
        <c:axId val="1568379384"/>
      </c:barChart>
      <c:catAx>
        <c:axId val="1568392744"/>
        <c:scaling>
          <c:orientation val="minMax"/>
        </c:scaling>
        <c:delete val="0"/>
        <c:axPos val="b"/>
        <c:majorTickMark val="none"/>
        <c:minorTickMark val="none"/>
        <c:tickLblPos val="nextTo"/>
        <c:crossAx val="1568379384"/>
        <c:crosses val="autoZero"/>
        <c:auto val="1"/>
        <c:lblAlgn val="ctr"/>
        <c:lblOffset val="100"/>
        <c:noMultiLvlLbl val="0"/>
      </c:catAx>
      <c:valAx>
        <c:axId val="1568379384"/>
        <c:scaling>
          <c:orientation val="minMax"/>
          <c:max val="100.0"/>
        </c:scaling>
        <c:delete val="0"/>
        <c:axPos val="l"/>
        <c:numFmt formatCode="General" sourceLinked="0"/>
        <c:majorTickMark val="none"/>
        <c:minorTickMark val="none"/>
        <c:tickLblPos val="nextTo"/>
        <c:crossAx val="1568392744"/>
        <c:crosses val="autoZero"/>
        <c:crossBetween val="between"/>
      </c:valAx>
    </c:plotArea>
    <c:legend>
      <c:legendPos val="b"/>
      <c:layout>
        <c:manualLayout>
          <c:xMode val="edge"/>
          <c:yMode val="edge"/>
          <c:x val="0.238091641366146"/>
          <c:y val="0.849665607249321"/>
          <c:w val="0.599051826985577"/>
          <c:h val="0.067821512295128"/>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3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816980324268"/>
          <c:y val="0.156152113258483"/>
          <c:w val="0.855825468624933"/>
          <c:h val="0.602273264884041"/>
        </c:manualLayout>
      </c:layout>
      <c:barChart>
        <c:barDir val="col"/>
        <c:grouping val="clustered"/>
        <c:varyColors val="0"/>
        <c:ser>
          <c:idx val="0"/>
          <c:order val="0"/>
          <c:tx>
            <c:strRef>
              <c:f>[1]UDP13!$CX$14</c:f>
              <c:strCache>
                <c:ptCount val="1"/>
                <c:pt idx="0">
                  <c:v>Nada Importante</c:v>
                </c:pt>
              </c:strCache>
            </c:strRef>
          </c:tx>
          <c:invertIfNegative val="0"/>
          <c:dLbls>
            <c:numFmt formatCode="#,##0.0" sourceLinked="0"/>
            <c:showLegendKey val="0"/>
            <c:showVal val="1"/>
            <c:showCatName val="0"/>
            <c:showSerName val="0"/>
            <c:showPercent val="0"/>
            <c:showBubbleSize val="0"/>
            <c:showLeaderLines val="0"/>
          </c:dLbls>
          <c:cat>
            <c:strRef>
              <c:f>[1]UDP13!$CY$13:$CZ$13</c:f>
              <c:strCache>
                <c:ptCount val="2"/>
                <c:pt idx="0">
                  <c:v>_x001d_Apoya Gratuidad Total (43.9%)</c:v>
                </c:pt>
                <c:pt idx="1">
                  <c:v>#Apoya Gratuidad para Pobres (56.1%)</c:v>
                </c:pt>
              </c:strCache>
            </c:strRef>
          </c:cat>
          <c:val>
            <c:numRef>
              <c:f>[1]UDP13!$CY$14:$CZ$14</c:f>
              <c:numCache>
                <c:formatCode>General</c:formatCode>
                <c:ptCount val="2"/>
                <c:pt idx="0">
                  <c:v>3.184713375796178</c:v>
                </c:pt>
                <c:pt idx="1">
                  <c:v>1.663893510815308</c:v>
                </c:pt>
              </c:numCache>
            </c:numRef>
          </c:val>
        </c:ser>
        <c:ser>
          <c:idx val="1"/>
          <c:order val="1"/>
          <c:tx>
            <c:strRef>
              <c:f>[1]UDP13!$CX$15</c:f>
              <c:strCache>
                <c:ptCount val="1"/>
                <c:pt idx="0">
                  <c:v>2</c:v>
                </c:pt>
              </c:strCache>
            </c:strRef>
          </c:tx>
          <c:invertIfNegative val="0"/>
          <c:dLbls>
            <c:numFmt formatCode="#,##0.0" sourceLinked="0"/>
            <c:showLegendKey val="0"/>
            <c:showVal val="1"/>
            <c:showCatName val="0"/>
            <c:showSerName val="0"/>
            <c:showPercent val="0"/>
            <c:showBubbleSize val="0"/>
            <c:showLeaderLines val="0"/>
          </c:dLbls>
          <c:cat>
            <c:strRef>
              <c:f>[1]UDP13!$CY$13:$CZ$13</c:f>
              <c:strCache>
                <c:ptCount val="2"/>
                <c:pt idx="0">
                  <c:v>_x001d_Apoya Gratuidad Total (43.9%)</c:v>
                </c:pt>
                <c:pt idx="1">
                  <c:v>#Apoya Gratuidad para Pobres (56.1%)</c:v>
                </c:pt>
              </c:strCache>
            </c:strRef>
          </c:cat>
          <c:val>
            <c:numRef>
              <c:f>[1]UDP13!$CY$15:$CZ$15</c:f>
              <c:numCache>
                <c:formatCode>General</c:formatCode>
                <c:ptCount val="2"/>
                <c:pt idx="0">
                  <c:v>0.636942675159236</c:v>
                </c:pt>
                <c:pt idx="1">
                  <c:v>0.998336106489185</c:v>
                </c:pt>
              </c:numCache>
            </c:numRef>
          </c:val>
        </c:ser>
        <c:ser>
          <c:idx val="2"/>
          <c:order val="2"/>
          <c:tx>
            <c:strRef>
              <c:f>[1]UDP13!$CX$16</c:f>
              <c:strCache>
                <c:ptCount val="1"/>
                <c:pt idx="0">
                  <c:v>3</c:v>
                </c:pt>
              </c:strCache>
            </c:strRef>
          </c:tx>
          <c:invertIfNegative val="0"/>
          <c:dLbls>
            <c:numFmt formatCode="#,##0.0" sourceLinked="0"/>
            <c:showLegendKey val="0"/>
            <c:showVal val="1"/>
            <c:showCatName val="0"/>
            <c:showSerName val="0"/>
            <c:showPercent val="0"/>
            <c:showBubbleSize val="0"/>
            <c:showLeaderLines val="0"/>
          </c:dLbls>
          <c:cat>
            <c:strRef>
              <c:f>[1]UDP13!$CY$13:$CZ$13</c:f>
              <c:strCache>
                <c:ptCount val="2"/>
                <c:pt idx="0">
                  <c:v>_x001d_Apoya Gratuidad Total (43.9%)</c:v>
                </c:pt>
                <c:pt idx="1">
                  <c:v>#Apoya Gratuidad para Pobres (56.1%)</c:v>
                </c:pt>
              </c:strCache>
            </c:strRef>
          </c:cat>
          <c:val>
            <c:numRef>
              <c:f>[1]UDP13!$CY$16:$CZ$16</c:f>
              <c:numCache>
                <c:formatCode>General</c:formatCode>
                <c:ptCount val="2"/>
                <c:pt idx="0">
                  <c:v>2.547770700636942</c:v>
                </c:pt>
                <c:pt idx="1">
                  <c:v>5.324459234608985</c:v>
                </c:pt>
              </c:numCache>
            </c:numRef>
          </c:val>
        </c:ser>
        <c:ser>
          <c:idx val="3"/>
          <c:order val="3"/>
          <c:tx>
            <c:strRef>
              <c:f>[1]UDP13!$CX$17</c:f>
              <c:strCache>
                <c:ptCount val="1"/>
                <c:pt idx="0">
                  <c:v>4</c:v>
                </c:pt>
              </c:strCache>
            </c:strRef>
          </c:tx>
          <c:invertIfNegative val="0"/>
          <c:dLbls>
            <c:numFmt formatCode="#,##0.0" sourceLinked="0"/>
            <c:showLegendKey val="0"/>
            <c:showVal val="1"/>
            <c:showCatName val="0"/>
            <c:showSerName val="0"/>
            <c:showPercent val="0"/>
            <c:showBubbleSize val="0"/>
            <c:showLeaderLines val="0"/>
          </c:dLbls>
          <c:cat>
            <c:strRef>
              <c:f>[1]UDP13!$CY$13:$CZ$13</c:f>
              <c:strCache>
                <c:ptCount val="2"/>
                <c:pt idx="0">
                  <c:v>_x001d_Apoya Gratuidad Total (43.9%)</c:v>
                </c:pt>
                <c:pt idx="1">
                  <c:v>#Apoya Gratuidad para Pobres (56.1%)</c:v>
                </c:pt>
              </c:strCache>
            </c:strRef>
          </c:cat>
          <c:val>
            <c:numRef>
              <c:f>[1]UDP13!$CY$17:$CZ$17</c:f>
              <c:numCache>
                <c:formatCode>General</c:formatCode>
                <c:ptCount val="2"/>
                <c:pt idx="0">
                  <c:v>12.52653927813163</c:v>
                </c:pt>
                <c:pt idx="1">
                  <c:v>15.30782029950083</c:v>
                </c:pt>
              </c:numCache>
            </c:numRef>
          </c:val>
        </c:ser>
        <c:ser>
          <c:idx val="4"/>
          <c:order val="4"/>
          <c:tx>
            <c:strRef>
              <c:f>[1]UDP13!$CX$18</c:f>
              <c:strCache>
                <c:ptCount val="1"/>
                <c:pt idx="0">
                  <c:v>5</c:v>
                </c:pt>
              </c:strCache>
            </c:strRef>
          </c:tx>
          <c:invertIfNegative val="0"/>
          <c:dLbls>
            <c:dLbl>
              <c:idx val="0"/>
              <c:numFmt formatCode="#,##0.0" sourceLinked="0"/>
              <c:spPr/>
              <c:txPr>
                <a:bodyPr/>
                <a:lstStyle/>
                <a:p>
                  <a:pPr>
                    <a:defRPr/>
                  </a:pPr>
                  <a:endParaRPr lang="es-ES"/>
                </a:p>
              </c:txPr>
              <c:showLegendKey val="0"/>
              <c:showVal val="1"/>
              <c:showCatName val="0"/>
              <c:showSerName val="0"/>
              <c:showPercent val="0"/>
              <c:showBubbleSize val="0"/>
            </c:dLbl>
            <c:numFmt formatCode="&quot;$&quot;\ #,##0.0" sourceLinked="0"/>
            <c:showLegendKey val="0"/>
            <c:showVal val="1"/>
            <c:showCatName val="0"/>
            <c:showSerName val="0"/>
            <c:showPercent val="0"/>
            <c:showBubbleSize val="0"/>
            <c:showLeaderLines val="0"/>
          </c:dLbls>
          <c:cat>
            <c:strRef>
              <c:f>[1]UDP13!$CY$13:$CZ$13</c:f>
              <c:strCache>
                <c:ptCount val="2"/>
                <c:pt idx="0">
                  <c:v>_x001d_Apoya Gratuidad Total (43.9%)</c:v>
                </c:pt>
                <c:pt idx="1">
                  <c:v>#Apoya Gratuidad para Pobres (56.1%)</c:v>
                </c:pt>
              </c:strCache>
            </c:strRef>
          </c:cat>
          <c:val>
            <c:numRef>
              <c:f>[1]UDP13!$CY$18:$CZ$18</c:f>
              <c:numCache>
                <c:formatCode>General</c:formatCode>
                <c:ptCount val="2"/>
                <c:pt idx="0">
                  <c:v>24.20382165605096</c:v>
                </c:pt>
                <c:pt idx="1">
                  <c:v>24.62562396006656</c:v>
                </c:pt>
              </c:numCache>
            </c:numRef>
          </c:val>
        </c:ser>
        <c:ser>
          <c:idx val="5"/>
          <c:order val="5"/>
          <c:tx>
            <c:strRef>
              <c:f>[1]UDP13!$CX$19</c:f>
              <c:strCache>
                <c:ptCount val="1"/>
                <c:pt idx="0">
                  <c:v>6</c:v>
                </c:pt>
              </c:strCache>
            </c:strRef>
          </c:tx>
          <c:invertIfNegative val="0"/>
          <c:dLbls>
            <c:numFmt formatCode="#,##0.0" sourceLinked="0"/>
            <c:showLegendKey val="0"/>
            <c:showVal val="1"/>
            <c:showCatName val="0"/>
            <c:showSerName val="0"/>
            <c:showPercent val="0"/>
            <c:showBubbleSize val="0"/>
            <c:showLeaderLines val="0"/>
          </c:dLbls>
          <c:cat>
            <c:strRef>
              <c:f>[1]UDP13!$CY$13:$CZ$13</c:f>
              <c:strCache>
                <c:ptCount val="2"/>
                <c:pt idx="0">
                  <c:v>_x001d_Apoya Gratuidad Total (43.9%)</c:v>
                </c:pt>
                <c:pt idx="1">
                  <c:v>#Apoya Gratuidad para Pobres (56.1%)</c:v>
                </c:pt>
              </c:strCache>
            </c:strRef>
          </c:cat>
          <c:val>
            <c:numRef>
              <c:f>[1]UDP13!$CY$19:$CZ$19</c:f>
              <c:numCache>
                <c:formatCode>General</c:formatCode>
                <c:ptCount val="2"/>
                <c:pt idx="0">
                  <c:v>24.20382165605096</c:v>
                </c:pt>
                <c:pt idx="1">
                  <c:v>27.78702163061564</c:v>
                </c:pt>
              </c:numCache>
            </c:numRef>
          </c:val>
        </c:ser>
        <c:ser>
          <c:idx val="6"/>
          <c:order val="6"/>
          <c:tx>
            <c:strRef>
              <c:f>[1]UDP13!$CX$20</c:f>
              <c:strCache>
                <c:ptCount val="1"/>
                <c:pt idx="0">
                  <c:v>Muy Importante</c:v>
                </c:pt>
              </c:strCache>
            </c:strRef>
          </c:tx>
          <c:invertIfNegative val="0"/>
          <c:dLbls>
            <c:numFmt formatCode="#,##0.0" sourceLinked="0"/>
            <c:showLegendKey val="0"/>
            <c:showVal val="1"/>
            <c:showCatName val="0"/>
            <c:showSerName val="0"/>
            <c:showPercent val="0"/>
            <c:showBubbleSize val="0"/>
            <c:showLeaderLines val="0"/>
          </c:dLbls>
          <c:cat>
            <c:strRef>
              <c:f>[1]UDP13!$CY$13:$CZ$13</c:f>
              <c:strCache>
                <c:ptCount val="2"/>
                <c:pt idx="0">
                  <c:v>_x001d_Apoya Gratuidad Total (43.9%)</c:v>
                </c:pt>
                <c:pt idx="1">
                  <c:v>#Apoya Gratuidad para Pobres (56.1%)</c:v>
                </c:pt>
              </c:strCache>
            </c:strRef>
          </c:cat>
          <c:val>
            <c:numRef>
              <c:f>[1]UDP13!$CY$20:$CZ$20</c:f>
              <c:numCache>
                <c:formatCode>General</c:formatCode>
                <c:ptCount val="2"/>
                <c:pt idx="0">
                  <c:v>32.6963906581741</c:v>
                </c:pt>
                <c:pt idx="1">
                  <c:v>24.29284525790349</c:v>
                </c:pt>
              </c:numCache>
            </c:numRef>
          </c:val>
        </c:ser>
        <c:dLbls>
          <c:showLegendKey val="0"/>
          <c:showVal val="1"/>
          <c:showCatName val="0"/>
          <c:showSerName val="0"/>
          <c:showPercent val="0"/>
          <c:showBubbleSize val="0"/>
        </c:dLbls>
        <c:gapWidth val="75"/>
        <c:axId val="1567636648"/>
        <c:axId val="1567626840"/>
      </c:barChart>
      <c:catAx>
        <c:axId val="1567636648"/>
        <c:scaling>
          <c:orientation val="minMax"/>
        </c:scaling>
        <c:delete val="0"/>
        <c:axPos val="b"/>
        <c:majorTickMark val="none"/>
        <c:minorTickMark val="none"/>
        <c:tickLblPos val="nextTo"/>
        <c:crossAx val="1567626840"/>
        <c:crosses val="autoZero"/>
        <c:auto val="1"/>
        <c:lblAlgn val="ctr"/>
        <c:lblOffset val="100"/>
        <c:noMultiLvlLbl val="0"/>
      </c:catAx>
      <c:valAx>
        <c:axId val="1567626840"/>
        <c:scaling>
          <c:orientation val="minMax"/>
          <c:max val="100.0"/>
        </c:scaling>
        <c:delete val="0"/>
        <c:axPos val="l"/>
        <c:numFmt formatCode="General" sourceLinked="1"/>
        <c:majorTickMark val="none"/>
        <c:minorTickMark val="none"/>
        <c:tickLblPos val="nextTo"/>
        <c:crossAx val="1567636648"/>
        <c:crosses val="autoZero"/>
        <c:crossBetween val="between"/>
      </c:valAx>
    </c:plotArea>
    <c:legend>
      <c:legendPos val="b"/>
      <c:layout>
        <c:manualLayout>
          <c:xMode val="edge"/>
          <c:yMode val="edge"/>
          <c:x val="0.194271513933099"/>
          <c:y val="0.862464875397096"/>
          <c:w val="0.677650825561699"/>
          <c:h val="0.067066891962533"/>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965498877858"/>
          <c:y val="0.154705241699668"/>
          <c:w val="0.854387158126973"/>
          <c:h val="0.579795139445101"/>
        </c:manualLayout>
      </c:layout>
      <c:barChart>
        <c:barDir val="col"/>
        <c:grouping val="clustered"/>
        <c:varyColors val="0"/>
        <c:ser>
          <c:idx val="0"/>
          <c:order val="0"/>
          <c:tx>
            <c:strRef>
              <c:f>[1]UDP13!$DF$14</c:f>
              <c:strCache>
                <c:ptCount val="1"/>
                <c:pt idx="0">
                  <c:v>Nada Importante</c:v>
                </c:pt>
              </c:strCache>
            </c:strRef>
          </c:tx>
          <c:invertIfNegative val="0"/>
          <c:dLbls>
            <c:numFmt formatCode="#,##0.0" sourceLinked="0"/>
            <c:showLegendKey val="0"/>
            <c:showVal val="1"/>
            <c:showCatName val="0"/>
            <c:showSerName val="0"/>
            <c:showPercent val="0"/>
            <c:showBubbleSize val="0"/>
            <c:showLeaderLines val="0"/>
          </c:dLbls>
          <c:cat>
            <c:strRef>
              <c:f>[1]UDP13!$DG$13:$DH$13</c:f>
              <c:strCache>
                <c:ptCount val="2"/>
                <c:pt idx="0">
                  <c:v>!Acepta Lucro en Educación (35.3%)</c:v>
                </c:pt>
                <c:pt idx="1">
                  <c:v>"Rechaza Lucro en Educación (64.7%)</c:v>
                </c:pt>
              </c:strCache>
            </c:strRef>
          </c:cat>
          <c:val>
            <c:numRef>
              <c:f>[1]UDP13!$DG$14:$DH$14</c:f>
              <c:numCache>
                <c:formatCode>General</c:formatCode>
                <c:ptCount val="2"/>
                <c:pt idx="0">
                  <c:v>3.601108033240997</c:v>
                </c:pt>
                <c:pt idx="1">
                  <c:v>1.664145234493192</c:v>
                </c:pt>
              </c:numCache>
            </c:numRef>
          </c:val>
        </c:ser>
        <c:ser>
          <c:idx val="1"/>
          <c:order val="1"/>
          <c:tx>
            <c:strRef>
              <c:f>[1]UDP13!$DF$15</c:f>
              <c:strCache>
                <c:ptCount val="1"/>
                <c:pt idx="0">
                  <c:v>2</c:v>
                </c:pt>
              </c:strCache>
            </c:strRef>
          </c:tx>
          <c:invertIfNegative val="0"/>
          <c:dLbls>
            <c:numFmt formatCode="#,##0.0" sourceLinked="0"/>
            <c:showLegendKey val="0"/>
            <c:showVal val="1"/>
            <c:showCatName val="0"/>
            <c:showSerName val="0"/>
            <c:showPercent val="0"/>
            <c:showBubbleSize val="0"/>
            <c:showLeaderLines val="0"/>
          </c:dLbls>
          <c:cat>
            <c:strRef>
              <c:f>[1]UDP13!$DG$13:$DH$13</c:f>
              <c:strCache>
                <c:ptCount val="2"/>
                <c:pt idx="0">
                  <c:v>!Acepta Lucro en Educación (35.3%)</c:v>
                </c:pt>
                <c:pt idx="1">
                  <c:v>"Rechaza Lucro en Educación (64.7%)</c:v>
                </c:pt>
              </c:strCache>
            </c:strRef>
          </c:cat>
          <c:val>
            <c:numRef>
              <c:f>[1]UDP13!$DG$15:$DH$15</c:f>
              <c:numCache>
                <c:formatCode>General</c:formatCode>
                <c:ptCount val="2"/>
                <c:pt idx="0">
                  <c:v>0.831024930747922</c:v>
                </c:pt>
                <c:pt idx="1">
                  <c:v>0.907715582450832</c:v>
                </c:pt>
              </c:numCache>
            </c:numRef>
          </c:val>
        </c:ser>
        <c:ser>
          <c:idx val="2"/>
          <c:order val="2"/>
          <c:tx>
            <c:strRef>
              <c:f>[1]UDP13!$DF$16</c:f>
              <c:strCache>
                <c:ptCount val="1"/>
                <c:pt idx="0">
                  <c:v>3</c:v>
                </c:pt>
              </c:strCache>
            </c:strRef>
          </c:tx>
          <c:invertIfNegative val="0"/>
          <c:dLbls>
            <c:numFmt formatCode="#,##0.0" sourceLinked="0"/>
            <c:showLegendKey val="0"/>
            <c:showVal val="1"/>
            <c:showCatName val="0"/>
            <c:showSerName val="0"/>
            <c:showPercent val="0"/>
            <c:showBubbleSize val="0"/>
            <c:showLeaderLines val="0"/>
          </c:dLbls>
          <c:cat>
            <c:strRef>
              <c:f>[1]UDP13!$DG$13:$DH$13</c:f>
              <c:strCache>
                <c:ptCount val="2"/>
                <c:pt idx="0">
                  <c:v>!Acepta Lucro en Educación (35.3%)</c:v>
                </c:pt>
                <c:pt idx="1">
                  <c:v>"Rechaza Lucro en Educación (64.7%)</c:v>
                </c:pt>
              </c:strCache>
            </c:strRef>
          </c:cat>
          <c:val>
            <c:numRef>
              <c:f>[1]UDP13!$DG$16:$DH$16</c:f>
              <c:numCache>
                <c:formatCode>General</c:formatCode>
                <c:ptCount val="2"/>
                <c:pt idx="0">
                  <c:v>2.21606648199446</c:v>
                </c:pt>
                <c:pt idx="1">
                  <c:v>5.29500756429652</c:v>
                </c:pt>
              </c:numCache>
            </c:numRef>
          </c:val>
        </c:ser>
        <c:ser>
          <c:idx val="3"/>
          <c:order val="3"/>
          <c:tx>
            <c:strRef>
              <c:f>[1]UDP13!$DF$17</c:f>
              <c:strCache>
                <c:ptCount val="1"/>
                <c:pt idx="0">
                  <c:v>4</c:v>
                </c:pt>
              </c:strCache>
            </c:strRef>
          </c:tx>
          <c:invertIfNegative val="0"/>
          <c:dLbls>
            <c:numFmt formatCode="#,##0.0" sourceLinked="0"/>
            <c:showLegendKey val="0"/>
            <c:showVal val="1"/>
            <c:showCatName val="0"/>
            <c:showSerName val="0"/>
            <c:showPercent val="0"/>
            <c:showBubbleSize val="0"/>
            <c:showLeaderLines val="0"/>
          </c:dLbls>
          <c:cat>
            <c:strRef>
              <c:f>[1]UDP13!$DG$13:$DH$13</c:f>
              <c:strCache>
                <c:ptCount val="2"/>
                <c:pt idx="0">
                  <c:v>!Acepta Lucro en Educación (35.3%)</c:v>
                </c:pt>
                <c:pt idx="1">
                  <c:v>"Rechaza Lucro en Educación (64.7%)</c:v>
                </c:pt>
              </c:strCache>
            </c:strRef>
          </c:cat>
          <c:val>
            <c:numRef>
              <c:f>[1]UDP13!$DG$17:$DH$17</c:f>
              <c:numCache>
                <c:formatCode>General</c:formatCode>
                <c:ptCount val="2"/>
                <c:pt idx="0">
                  <c:v>14.40443213296399</c:v>
                </c:pt>
                <c:pt idx="1">
                  <c:v>14.0695915279879</c:v>
                </c:pt>
              </c:numCache>
            </c:numRef>
          </c:val>
        </c:ser>
        <c:ser>
          <c:idx val="4"/>
          <c:order val="4"/>
          <c:tx>
            <c:strRef>
              <c:f>[1]UDP13!$DF$18</c:f>
              <c:strCache>
                <c:ptCount val="1"/>
                <c:pt idx="0">
                  <c:v>5</c:v>
                </c:pt>
              </c:strCache>
            </c:strRef>
          </c:tx>
          <c:invertIfNegative val="0"/>
          <c:dLbls>
            <c:numFmt formatCode="#,##0.0" sourceLinked="0"/>
            <c:showLegendKey val="0"/>
            <c:showVal val="1"/>
            <c:showCatName val="0"/>
            <c:showSerName val="0"/>
            <c:showPercent val="0"/>
            <c:showBubbleSize val="0"/>
            <c:showLeaderLines val="0"/>
          </c:dLbls>
          <c:cat>
            <c:strRef>
              <c:f>[1]UDP13!$DG$13:$DH$13</c:f>
              <c:strCache>
                <c:ptCount val="2"/>
                <c:pt idx="0">
                  <c:v>!Acepta Lucro en Educación (35.3%)</c:v>
                </c:pt>
                <c:pt idx="1">
                  <c:v>"Rechaza Lucro en Educación (64.7%)</c:v>
                </c:pt>
              </c:strCache>
            </c:strRef>
          </c:cat>
          <c:val>
            <c:numRef>
              <c:f>[1]UDP13!$DG$18:$DH$18</c:f>
              <c:numCache>
                <c:formatCode>General</c:formatCode>
                <c:ptCount val="2"/>
                <c:pt idx="0">
                  <c:v>24.37673130193906</c:v>
                </c:pt>
                <c:pt idx="1">
                  <c:v>23.29803328290469</c:v>
                </c:pt>
              </c:numCache>
            </c:numRef>
          </c:val>
        </c:ser>
        <c:ser>
          <c:idx val="5"/>
          <c:order val="5"/>
          <c:tx>
            <c:strRef>
              <c:f>[1]UDP13!$DF$19</c:f>
              <c:strCache>
                <c:ptCount val="1"/>
                <c:pt idx="0">
                  <c:v>6</c:v>
                </c:pt>
              </c:strCache>
            </c:strRef>
          </c:tx>
          <c:invertIfNegative val="0"/>
          <c:dLbls>
            <c:numFmt formatCode="#,##0.0" sourceLinked="0"/>
            <c:showLegendKey val="0"/>
            <c:showVal val="1"/>
            <c:showCatName val="0"/>
            <c:showSerName val="0"/>
            <c:showPercent val="0"/>
            <c:showBubbleSize val="0"/>
            <c:showLeaderLines val="0"/>
          </c:dLbls>
          <c:cat>
            <c:strRef>
              <c:f>[1]UDP13!$DG$13:$DH$13</c:f>
              <c:strCache>
                <c:ptCount val="2"/>
                <c:pt idx="0">
                  <c:v>!Acepta Lucro en Educación (35.3%)</c:v>
                </c:pt>
                <c:pt idx="1">
                  <c:v>"Rechaza Lucro en Educación (64.7%)</c:v>
                </c:pt>
              </c:strCache>
            </c:strRef>
          </c:cat>
          <c:val>
            <c:numRef>
              <c:f>[1]UDP13!$DG$19:$DH$19</c:f>
              <c:numCache>
                <c:formatCode>General</c:formatCode>
                <c:ptCount val="2"/>
                <c:pt idx="0">
                  <c:v>24.93074792243767</c:v>
                </c:pt>
                <c:pt idx="1">
                  <c:v>26.02118003025718</c:v>
                </c:pt>
              </c:numCache>
            </c:numRef>
          </c:val>
        </c:ser>
        <c:ser>
          <c:idx val="6"/>
          <c:order val="6"/>
          <c:tx>
            <c:strRef>
              <c:f>[1]UDP13!$DF$20</c:f>
              <c:strCache>
                <c:ptCount val="1"/>
                <c:pt idx="0">
                  <c:v>Muy Importante</c:v>
                </c:pt>
              </c:strCache>
            </c:strRef>
          </c:tx>
          <c:invertIfNegative val="0"/>
          <c:dLbls>
            <c:numFmt formatCode="#,##0.0" sourceLinked="0"/>
            <c:showLegendKey val="0"/>
            <c:showVal val="1"/>
            <c:showCatName val="0"/>
            <c:showSerName val="0"/>
            <c:showPercent val="0"/>
            <c:showBubbleSize val="0"/>
            <c:showLeaderLines val="0"/>
          </c:dLbls>
          <c:cat>
            <c:strRef>
              <c:f>[1]UDP13!$DG$13:$DH$13</c:f>
              <c:strCache>
                <c:ptCount val="2"/>
                <c:pt idx="0">
                  <c:v>!Acepta Lucro en Educación (35.3%)</c:v>
                </c:pt>
                <c:pt idx="1">
                  <c:v>"Rechaza Lucro en Educación (64.7%)</c:v>
                </c:pt>
              </c:strCache>
            </c:strRef>
          </c:cat>
          <c:val>
            <c:numRef>
              <c:f>[1]UDP13!$DG$20:$DH$20</c:f>
              <c:numCache>
                <c:formatCode>General</c:formatCode>
                <c:ptCount val="2"/>
                <c:pt idx="0">
                  <c:v>29.6398891966759</c:v>
                </c:pt>
                <c:pt idx="1">
                  <c:v>28.74432677760968</c:v>
                </c:pt>
              </c:numCache>
            </c:numRef>
          </c:val>
        </c:ser>
        <c:dLbls>
          <c:showLegendKey val="0"/>
          <c:showVal val="1"/>
          <c:showCatName val="0"/>
          <c:showSerName val="0"/>
          <c:showPercent val="0"/>
          <c:showBubbleSize val="0"/>
        </c:dLbls>
        <c:gapWidth val="75"/>
        <c:axId val="1561209320"/>
        <c:axId val="1500107432"/>
      </c:barChart>
      <c:catAx>
        <c:axId val="1561209320"/>
        <c:scaling>
          <c:orientation val="minMax"/>
        </c:scaling>
        <c:delete val="0"/>
        <c:axPos val="b"/>
        <c:majorTickMark val="none"/>
        <c:minorTickMark val="none"/>
        <c:tickLblPos val="nextTo"/>
        <c:crossAx val="1500107432"/>
        <c:crosses val="autoZero"/>
        <c:auto val="1"/>
        <c:lblAlgn val="ctr"/>
        <c:lblOffset val="100"/>
        <c:noMultiLvlLbl val="0"/>
      </c:catAx>
      <c:valAx>
        <c:axId val="1500107432"/>
        <c:scaling>
          <c:orientation val="minMax"/>
          <c:max val="100.0"/>
        </c:scaling>
        <c:delete val="0"/>
        <c:axPos val="l"/>
        <c:numFmt formatCode="General" sourceLinked="1"/>
        <c:majorTickMark val="none"/>
        <c:minorTickMark val="none"/>
        <c:tickLblPos val="nextTo"/>
        <c:crossAx val="1561209320"/>
        <c:crosses val="autoZero"/>
        <c:crossBetween val="between"/>
      </c:valAx>
    </c:plotArea>
    <c:legend>
      <c:legendPos val="b"/>
      <c:layout>
        <c:manualLayout>
          <c:xMode val="edge"/>
          <c:yMode val="edge"/>
          <c:x val="0.240438358248697"/>
          <c:y val="0.832327636319656"/>
          <c:w val="0.553905892198258"/>
          <c:h val="0.0672539683422882"/>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996590379473594"/>
          <c:y val="0.164946285894684"/>
          <c:w val="0.877495686870917"/>
          <c:h val="0.587706141628306"/>
        </c:manualLayout>
      </c:layout>
      <c:barChart>
        <c:barDir val="col"/>
        <c:grouping val="clustered"/>
        <c:varyColors val="0"/>
        <c:ser>
          <c:idx val="0"/>
          <c:order val="0"/>
          <c:tx>
            <c:strRef>
              <c:f>'UDP2'!$CC$3</c:f>
              <c:strCache>
                <c:ptCount val="1"/>
                <c:pt idx="0">
                  <c:v>Nada Importante</c:v>
                </c:pt>
              </c:strCache>
            </c:strRef>
          </c:tx>
          <c:invertIfNegative val="0"/>
          <c:dLbls>
            <c:numFmt formatCode="#,##0.0" sourceLinked="0"/>
            <c:showLegendKey val="0"/>
            <c:showVal val="1"/>
            <c:showCatName val="0"/>
            <c:showSerName val="0"/>
            <c:showPercent val="0"/>
            <c:showBubbleSize val="0"/>
            <c:showLeaderLines val="0"/>
          </c:dLbls>
          <c:cat>
            <c:strRef>
              <c:f>'UDP2'!$CD$2:$CE$2</c:f>
              <c:strCache>
                <c:ptCount val="2"/>
                <c:pt idx="0">
                  <c:v>Sí (78.2%)</c:v>
                </c:pt>
                <c:pt idx="1">
                  <c:v>No (21.8%)</c:v>
                </c:pt>
              </c:strCache>
            </c:strRef>
          </c:cat>
          <c:val>
            <c:numRef>
              <c:f>'UDP2'!$CD$3:$CE$3</c:f>
              <c:numCache>
                <c:formatCode>0.00</c:formatCode>
                <c:ptCount val="2"/>
                <c:pt idx="0">
                  <c:v>1.548387096774193</c:v>
                </c:pt>
                <c:pt idx="1">
                  <c:v>4.62962962962963</c:v>
                </c:pt>
              </c:numCache>
            </c:numRef>
          </c:val>
        </c:ser>
        <c:ser>
          <c:idx val="1"/>
          <c:order val="1"/>
          <c:tx>
            <c:strRef>
              <c:f>'UDP2'!$CC$4</c:f>
              <c:strCache>
                <c:ptCount val="1"/>
                <c:pt idx="0">
                  <c:v>2</c:v>
                </c:pt>
              </c:strCache>
            </c:strRef>
          </c:tx>
          <c:invertIfNegative val="0"/>
          <c:dLbls>
            <c:numFmt formatCode="#,##0.0" sourceLinked="0"/>
            <c:showLegendKey val="0"/>
            <c:showVal val="1"/>
            <c:showCatName val="0"/>
            <c:showSerName val="0"/>
            <c:showPercent val="0"/>
            <c:showBubbleSize val="0"/>
            <c:showLeaderLines val="0"/>
          </c:dLbls>
          <c:cat>
            <c:strRef>
              <c:f>'UDP2'!$CD$2:$CE$2</c:f>
              <c:strCache>
                <c:ptCount val="2"/>
                <c:pt idx="0">
                  <c:v>Sí (78.2%)</c:v>
                </c:pt>
                <c:pt idx="1">
                  <c:v>No (21.8%)</c:v>
                </c:pt>
              </c:strCache>
            </c:strRef>
          </c:cat>
          <c:val>
            <c:numRef>
              <c:f>'UDP2'!$CD$4:$CE$4</c:f>
              <c:numCache>
                <c:formatCode>0.00</c:formatCode>
                <c:ptCount val="2"/>
                <c:pt idx="0">
                  <c:v>0.774193548387097</c:v>
                </c:pt>
                <c:pt idx="1">
                  <c:v>1.388888888888889</c:v>
                </c:pt>
              </c:numCache>
            </c:numRef>
          </c:val>
        </c:ser>
        <c:ser>
          <c:idx val="2"/>
          <c:order val="2"/>
          <c:tx>
            <c:strRef>
              <c:f>'UDP2'!$CC$5</c:f>
              <c:strCache>
                <c:ptCount val="1"/>
                <c:pt idx="0">
                  <c:v>3</c:v>
                </c:pt>
              </c:strCache>
            </c:strRef>
          </c:tx>
          <c:invertIfNegative val="0"/>
          <c:dLbls>
            <c:numFmt formatCode="#,##0.0" sourceLinked="0"/>
            <c:showLegendKey val="0"/>
            <c:showVal val="1"/>
            <c:showCatName val="0"/>
            <c:showSerName val="0"/>
            <c:showPercent val="0"/>
            <c:showBubbleSize val="0"/>
            <c:showLeaderLines val="0"/>
          </c:dLbls>
          <c:cat>
            <c:strRef>
              <c:f>'UDP2'!$CD$2:$CE$2</c:f>
              <c:strCache>
                <c:ptCount val="2"/>
                <c:pt idx="0">
                  <c:v>Sí (78.2%)</c:v>
                </c:pt>
                <c:pt idx="1">
                  <c:v>No (21.8%)</c:v>
                </c:pt>
              </c:strCache>
            </c:strRef>
          </c:cat>
          <c:val>
            <c:numRef>
              <c:f>'UDP2'!$CD$5:$CE$5</c:f>
              <c:numCache>
                <c:formatCode>0.00</c:formatCode>
                <c:ptCount val="2"/>
                <c:pt idx="0">
                  <c:v>4.516129032258064</c:v>
                </c:pt>
                <c:pt idx="1">
                  <c:v>3.703703703703704</c:v>
                </c:pt>
              </c:numCache>
            </c:numRef>
          </c:val>
        </c:ser>
        <c:ser>
          <c:idx val="3"/>
          <c:order val="3"/>
          <c:tx>
            <c:strRef>
              <c:f>'UDP2'!$CC$6</c:f>
              <c:strCache>
                <c:ptCount val="1"/>
                <c:pt idx="0">
                  <c:v>4</c:v>
                </c:pt>
              </c:strCache>
            </c:strRef>
          </c:tx>
          <c:invertIfNegative val="0"/>
          <c:dLbls>
            <c:numFmt formatCode="#,##0.0" sourceLinked="0"/>
            <c:showLegendKey val="0"/>
            <c:showVal val="1"/>
            <c:showCatName val="0"/>
            <c:showSerName val="0"/>
            <c:showPercent val="0"/>
            <c:showBubbleSize val="0"/>
            <c:showLeaderLines val="0"/>
          </c:dLbls>
          <c:cat>
            <c:strRef>
              <c:f>'UDP2'!$CD$2:$CE$2</c:f>
              <c:strCache>
                <c:ptCount val="2"/>
                <c:pt idx="0">
                  <c:v>Sí (78.2%)</c:v>
                </c:pt>
                <c:pt idx="1">
                  <c:v>No (21.8%)</c:v>
                </c:pt>
              </c:strCache>
            </c:strRef>
          </c:cat>
          <c:val>
            <c:numRef>
              <c:f>'UDP2'!$CD$6:$CE$6</c:f>
              <c:numCache>
                <c:formatCode>0.00</c:formatCode>
                <c:ptCount val="2"/>
                <c:pt idx="0">
                  <c:v>13.03225806451613</c:v>
                </c:pt>
                <c:pt idx="1">
                  <c:v>18.51851851851852</c:v>
                </c:pt>
              </c:numCache>
            </c:numRef>
          </c:val>
        </c:ser>
        <c:ser>
          <c:idx val="4"/>
          <c:order val="4"/>
          <c:tx>
            <c:strRef>
              <c:f>'UDP2'!$CC$7</c:f>
              <c:strCache>
                <c:ptCount val="1"/>
                <c:pt idx="0">
                  <c:v>5</c:v>
                </c:pt>
              </c:strCache>
            </c:strRef>
          </c:tx>
          <c:invertIfNegative val="0"/>
          <c:dLbls>
            <c:numFmt formatCode="#,##0.0" sourceLinked="0"/>
            <c:showLegendKey val="0"/>
            <c:showVal val="1"/>
            <c:showCatName val="0"/>
            <c:showSerName val="0"/>
            <c:showPercent val="0"/>
            <c:showBubbleSize val="0"/>
            <c:showLeaderLines val="0"/>
          </c:dLbls>
          <c:cat>
            <c:strRef>
              <c:f>'UDP2'!$CD$2:$CE$2</c:f>
              <c:strCache>
                <c:ptCount val="2"/>
                <c:pt idx="0">
                  <c:v>Sí (78.2%)</c:v>
                </c:pt>
                <c:pt idx="1">
                  <c:v>No (21.8%)</c:v>
                </c:pt>
              </c:strCache>
            </c:strRef>
          </c:cat>
          <c:val>
            <c:numRef>
              <c:f>'UDP2'!$CD$7:$CE$7</c:f>
              <c:numCache>
                <c:formatCode>0.00</c:formatCode>
                <c:ptCount val="2"/>
                <c:pt idx="0">
                  <c:v>26.32258064516129</c:v>
                </c:pt>
                <c:pt idx="1">
                  <c:v>18.98148148148148</c:v>
                </c:pt>
              </c:numCache>
            </c:numRef>
          </c:val>
        </c:ser>
        <c:ser>
          <c:idx val="5"/>
          <c:order val="5"/>
          <c:tx>
            <c:strRef>
              <c:f>'UDP2'!$CC$8</c:f>
              <c:strCache>
                <c:ptCount val="1"/>
                <c:pt idx="0">
                  <c:v>6</c:v>
                </c:pt>
              </c:strCache>
            </c:strRef>
          </c:tx>
          <c:invertIfNegative val="0"/>
          <c:dLbls>
            <c:numFmt formatCode="#,##0.0" sourceLinked="0"/>
            <c:showLegendKey val="0"/>
            <c:showVal val="1"/>
            <c:showCatName val="0"/>
            <c:showSerName val="0"/>
            <c:showPercent val="0"/>
            <c:showBubbleSize val="0"/>
            <c:showLeaderLines val="0"/>
          </c:dLbls>
          <c:cat>
            <c:strRef>
              <c:f>'UDP2'!$CD$2:$CE$2</c:f>
              <c:strCache>
                <c:ptCount val="2"/>
                <c:pt idx="0">
                  <c:v>Sí (78.2%)</c:v>
                </c:pt>
                <c:pt idx="1">
                  <c:v>No (21.8%)</c:v>
                </c:pt>
              </c:strCache>
            </c:strRef>
          </c:cat>
          <c:val>
            <c:numRef>
              <c:f>'UDP2'!$CD$8:$CE$8</c:f>
              <c:numCache>
                <c:formatCode>0.00</c:formatCode>
                <c:ptCount val="2"/>
                <c:pt idx="0">
                  <c:v>27.2258064516129</c:v>
                </c:pt>
                <c:pt idx="1">
                  <c:v>22.22222222222222</c:v>
                </c:pt>
              </c:numCache>
            </c:numRef>
          </c:val>
        </c:ser>
        <c:ser>
          <c:idx val="6"/>
          <c:order val="6"/>
          <c:tx>
            <c:strRef>
              <c:f>'UDP2'!$CC$9</c:f>
              <c:strCache>
                <c:ptCount val="1"/>
                <c:pt idx="0">
                  <c:v>Muy Importante</c:v>
                </c:pt>
              </c:strCache>
            </c:strRef>
          </c:tx>
          <c:invertIfNegative val="0"/>
          <c:dLbls>
            <c:numFmt formatCode="#,##0.0" sourceLinked="0"/>
            <c:showLegendKey val="0"/>
            <c:showVal val="1"/>
            <c:showCatName val="0"/>
            <c:showSerName val="0"/>
            <c:showPercent val="0"/>
            <c:showBubbleSize val="0"/>
            <c:showLeaderLines val="0"/>
          </c:dLbls>
          <c:cat>
            <c:strRef>
              <c:f>'UDP2'!$CD$2:$CE$2</c:f>
              <c:strCache>
                <c:ptCount val="2"/>
                <c:pt idx="0">
                  <c:v>Sí (78.2%)</c:v>
                </c:pt>
                <c:pt idx="1">
                  <c:v>No (21.8%)</c:v>
                </c:pt>
              </c:strCache>
            </c:strRef>
          </c:cat>
          <c:val>
            <c:numRef>
              <c:f>'UDP2'!$CD$9:$CE$9</c:f>
              <c:numCache>
                <c:formatCode>0.00</c:formatCode>
                <c:ptCount val="2"/>
                <c:pt idx="0">
                  <c:v>26.58064516129032</c:v>
                </c:pt>
                <c:pt idx="1">
                  <c:v>30.55555555555556</c:v>
                </c:pt>
              </c:numCache>
            </c:numRef>
          </c:val>
        </c:ser>
        <c:dLbls>
          <c:showLegendKey val="0"/>
          <c:showVal val="1"/>
          <c:showCatName val="0"/>
          <c:showSerName val="0"/>
          <c:showPercent val="0"/>
          <c:showBubbleSize val="0"/>
        </c:dLbls>
        <c:gapWidth val="75"/>
        <c:axId val="1567733960"/>
        <c:axId val="1567716872"/>
      </c:barChart>
      <c:catAx>
        <c:axId val="1567733960"/>
        <c:scaling>
          <c:orientation val="minMax"/>
        </c:scaling>
        <c:delete val="0"/>
        <c:axPos val="b"/>
        <c:majorTickMark val="none"/>
        <c:minorTickMark val="none"/>
        <c:tickLblPos val="nextTo"/>
        <c:crossAx val="1567716872"/>
        <c:crosses val="autoZero"/>
        <c:auto val="1"/>
        <c:lblAlgn val="ctr"/>
        <c:lblOffset val="100"/>
        <c:noMultiLvlLbl val="0"/>
      </c:catAx>
      <c:valAx>
        <c:axId val="1567716872"/>
        <c:scaling>
          <c:orientation val="minMax"/>
          <c:max val="100.0"/>
        </c:scaling>
        <c:delete val="0"/>
        <c:axPos val="l"/>
        <c:numFmt formatCode="General" sourceLinked="0"/>
        <c:majorTickMark val="none"/>
        <c:minorTickMark val="none"/>
        <c:tickLblPos val="nextTo"/>
        <c:crossAx val="1567733960"/>
        <c:crosses val="autoZero"/>
        <c:crossBetween val="between"/>
      </c:valAx>
    </c:plotArea>
    <c:legend>
      <c:legendPos val="b"/>
      <c:layout>
        <c:manualLayout>
          <c:xMode val="edge"/>
          <c:yMode val="edge"/>
          <c:x val="0.241800312344135"/>
          <c:y val="0.850087302538562"/>
          <c:w val="0.595319416848595"/>
          <c:h val="0.067631269651906"/>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872392990028"/>
          <c:y val="0.14330987886382"/>
          <c:w val="0.867350023335175"/>
          <c:h val="0.611708241364942"/>
        </c:manualLayout>
      </c:layout>
      <c:barChart>
        <c:barDir val="col"/>
        <c:grouping val="clustered"/>
        <c:varyColors val="0"/>
        <c:ser>
          <c:idx val="0"/>
          <c:order val="0"/>
          <c:tx>
            <c:strRef>
              <c:f>[1]UDP13!$BW$14</c:f>
              <c:strCache>
                <c:ptCount val="1"/>
                <c:pt idx="0">
                  <c:v>Nada Importante</c:v>
                </c:pt>
              </c:strCache>
            </c:strRef>
          </c:tx>
          <c:invertIfNegative val="0"/>
          <c:dLbls>
            <c:numFmt formatCode="#,##0.0" sourceLinked="0"/>
            <c:showLegendKey val="0"/>
            <c:showVal val="1"/>
            <c:showCatName val="0"/>
            <c:showSerName val="0"/>
            <c:showPercent val="0"/>
            <c:showBubbleSize val="0"/>
            <c:showLeaderLines val="0"/>
          </c:dLbls>
          <c:cat>
            <c:strRef>
              <c:f>[1]UDP13!$BX$13:$BY$13</c:f>
              <c:strCache>
                <c:ptCount val="2"/>
                <c:pt idx="0">
                  <c:v>_x0014_Sí Simpatiza (23.2%)</c:v>
                </c:pt>
                <c:pt idx="1">
                  <c:v>_x0014_No Simpatiza (76.8%)</c:v>
                </c:pt>
              </c:strCache>
            </c:strRef>
          </c:cat>
          <c:val>
            <c:numRef>
              <c:f>[1]UDP13!$BX$14:$BY$14</c:f>
              <c:numCache>
                <c:formatCode>General</c:formatCode>
                <c:ptCount val="2"/>
                <c:pt idx="0">
                  <c:v>1.229508196721311</c:v>
                </c:pt>
                <c:pt idx="1">
                  <c:v>2.729528535980149</c:v>
                </c:pt>
              </c:numCache>
            </c:numRef>
          </c:val>
        </c:ser>
        <c:ser>
          <c:idx val="1"/>
          <c:order val="1"/>
          <c:tx>
            <c:strRef>
              <c:f>[1]UDP13!$BW$15</c:f>
              <c:strCache>
                <c:ptCount val="1"/>
                <c:pt idx="0">
                  <c:v>2</c:v>
                </c:pt>
              </c:strCache>
            </c:strRef>
          </c:tx>
          <c:invertIfNegative val="0"/>
          <c:dLbls>
            <c:numFmt formatCode="#,##0.0" sourceLinked="0"/>
            <c:showLegendKey val="0"/>
            <c:showVal val="1"/>
            <c:showCatName val="0"/>
            <c:showSerName val="0"/>
            <c:showPercent val="0"/>
            <c:showBubbleSize val="0"/>
            <c:showLeaderLines val="0"/>
          </c:dLbls>
          <c:cat>
            <c:strRef>
              <c:f>[1]UDP13!$BX$13:$BY$13</c:f>
              <c:strCache>
                <c:ptCount val="2"/>
                <c:pt idx="0">
                  <c:v>_x0014_Sí Simpatiza (23.2%)</c:v>
                </c:pt>
                <c:pt idx="1">
                  <c:v>_x0014_No Simpatiza (76.8%)</c:v>
                </c:pt>
              </c:strCache>
            </c:strRef>
          </c:cat>
          <c:val>
            <c:numRef>
              <c:f>[1]UDP13!$BX$15:$BY$15</c:f>
              <c:numCache>
                <c:formatCode>General</c:formatCode>
                <c:ptCount val="2"/>
                <c:pt idx="0">
                  <c:v>2.049180327868852</c:v>
                </c:pt>
                <c:pt idx="1">
                  <c:v>0.620347394540943</c:v>
                </c:pt>
              </c:numCache>
            </c:numRef>
          </c:val>
        </c:ser>
        <c:ser>
          <c:idx val="2"/>
          <c:order val="2"/>
          <c:tx>
            <c:strRef>
              <c:f>[1]UDP13!$BW$16</c:f>
              <c:strCache>
                <c:ptCount val="1"/>
                <c:pt idx="0">
                  <c:v>3</c:v>
                </c:pt>
              </c:strCache>
            </c:strRef>
          </c:tx>
          <c:invertIfNegative val="0"/>
          <c:dLbls>
            <c:numFmt formatCode="#,##0.0" sourceLinked="0"/>
            <c:showLegendKey val="0"/>
            <c:showVal val="1"/>
            <c:showCatName val="0"/>
            <c:showSerName val="0"/>
            <c:showPercent val="0"/>
            <c:showBubbleSize val="0"/>
            <c:showLeaderLines val="0"/>
          </c:dLbls>
          <c:cat>
            <c:strRef>
              <c:f>[1]UDP13!$BX$13:$BY$13</c:f>
              <c:strCache>
                <c:ptCount val="2"/>
                <c:pt idx="0">
                  <c:v>_x0014_Sí Simpatiza (23.2%)</c:v>
                </c:pt>
                <c:pt idx="1">
                  <c:v>_x0014_No Simpatiza (76.8%)</c:v>
                </c:pt>
              </c:strCache>
            </c:strRef>
          </c:cat>
          <c:val>
            <c:numRef>
              <c:f>[1]UDP13!$BX$16:$BY$16</c:f>
              <c:numCache>
                <c:formatCode>General</c:formatCode>
                <c:ptCount val="2"/>
                <c:pt idx="0">
                  <c:v>3.278688524590164</c:v>
                </c:pt>
                <c:pt idx="1">
                  <c:v>4.590570719602978</c:v>
                </c:pt>
              </c:numCache>
            </c:numRef>
          </c:val>
        </c:ser>
        <c:ser>
          <c:idx val="3"/>
          <c:order val="3"/>
          <c:tx>
            <c:strRef>
              <c:f>[1]UDP13!$BW$17</c:f>
              <c:strCache>
                <c:ptCount val="1"/>
                <c:pt idx="0">
                  <c:v>4</c:v>
                </c:pt>
              </c:strCache>
            </c:strRef>
          </c:tx>
          <c:invertIfNegative val="0"/>
          <c:dLbls>
            <c:numFmt formatCode="#,##0.0" sourceLinked="0"/>
            <c:showLegendKey val="0"/>
            <c:showVal val="1"/>
            <c:showCatName val="0"/>
            <c:showSerName val="0"/>
            <c:showPercent val="0"/>
            <c:showBubbleSize val="0"/>
            <c:showLeaderLines val="0"/>
          </c:dLbls>
          <c:cat>
            <c:strRef>
              <c:f>[1]UDP13!$BX$13:$BY$13</c:f>
              <c:strCache>
                <c:ptCount val="2"/>
                <c:pt idx="0">
                  <c:v>_x0014_Sí Simpatiza (23.2%)</c:v>
                </c:pt>
                <c:pt idx="1">
                  <c:v>_x0014_No Simpatiza (76.8%)</c:v>
                </c:pt>
              </c:strCache>
            </c:strRef>
          </c:cat>
          <c:val>
            <c:numRef>
              <c:f>[1]UDP13!$BX$17:$BY$17</c:f>
              <c:numCache>
                <c:formatCode>General</c:formatCode>
                <c:ptCount val="2"/>
                <c:pt idx="0">
                  <c:v>12.29508196721311</c:v>
                </c:pt>
                <c:pt idx="1">
                  <c:v>15.01240694789082</c:v>
                </c:pt>
              </c:numCache>
            </c:numRef>
          </c:val>
        </c:ser>
        <c:ser>
          <c:idx val="4"/>
          <c:order val="4"/>
          <c:tx>
            <c:strRef>
              <c:f>[1]UDP13!$BW$18</c:f>
              <c:strCache>
                <c:ptCount val="1"/>
                <c:pt idx="0">
                  <c:v>5</c:v>
                </c:pt>
              </c:strCache>
            </c:strRef>
          </c:tx>
          <c:invertIfNegative val="0"/>
          <c:dLbls>
            <c:numFmt formatCode="#,##0.0" sourceLinked="0"/>
            <c:showLegendKey val="0"/>
            <c:showVal val="1"/>
            <c:showCatName val="0"/>
            <c:showSerName val="0"/>
            <c:showPercent val="0"/>
            <c:showBubbleSize val="0"/>
            <c:showLeaderLines val="0"/>
          </c:dLbls>
          <c:cat>
            <c:strRef>
              <c:f>[1]UDP13!$BX$13:$BY$13</c:f>
              <c:strCache>
                <c:ptCount val="2"/>
                <c:pt idx="0">
                  <c:v>_x0014_Sí Simpatiza (23.2%)</c:v>
                </c:pt>
                <c:pt idx="1">
                  <c:v>_x0014_No Simpatiza (76.8%)</c:v>
                </c:pt>
              </c:strCache>
            </c:strRef>
          </c:cat>
          <c:val>
            <c:numRef>
              <c:f>[1]UDP13!$BX$18:$BY$18</c:f>
              <c:numCache>
                <c:formatCode>General</c:formatCode>
                <c:ptCount val="2"/>
                <c:pt idx="0">
                  <c:v>15.57377049180328</c:v>
                </c:pt>
                <c:pt idx="1">
                  <c:v>26.67493796526055</c:v>
                </c:pt>
              </c:numCache>
            </c:numRef>
          </c:val>
        </c:ser>
        <c:ser>
          <c:idx val="5"/>
          <c:order val="5"/>
          <c:tx>
            <c:strRef>
              <c:f>[1]UDP13!$BW$19</c:f>
              <c:strCache>
                <c:ptCount val="1"/>
                <c:pt idx="0">
                  <c:v>6</c:v>
                </c:pt>
              </c:strCache>
            </c:strRef>
          </c:tx>
          <c:invertIfNegative val="0"/>
          <c:dLbls>
            <c:numFmt formatCode="#,##0.0" sourceLinked="0"/>
            <c:showLegendKey val="0"/>
            <c:showVal val="1"/>
            <c:showCatName val="0"/>
            <c:showSerName val="0"/>
            <c:showPercent val="0"/>
            <c:showBubbleSize val="0"/>
            <c:showLeaderLines val="0"/>
          </c:dLbls>
          <c:cat>
            <c:strRef>
              <c:f>[1]UDP13!$BX$13:$BY$13</c:f>
              <c:strCache>
                <c:ptCount val="2"/>
                <c:pt idx="0">
                  <c:v>_x0014_Sí Simpatiza (23.2%)</c:v>
                </c:pt>
                <c:pt idx="1">
                  <c:v>_x0014_No Simpatiza (76.8%)</c:v>
                </c:pt>
              </c:strCache>
            </c:strRef>
          </c:cat>
          <c:val>
            <c:numRef>
              <c:f>[1]UDP13!$BX$19:$BY$19</c:f>
              <c:numCache>
                <c:formatCode>General</c:formatCode>
                <c:ptCount val="2"/>
                <c:pt idx="0">
                  <c:v>31.9672131147541</c:v>
                </c:pt>
                <c:pt idx="1">
                  <c:v>24.56575682382134</c:v>
                </c:pt>
              </c:numCache>
            </c:numRef>
          </c:val>
        </c:ser>
        <c:ser>
          <c:idx val="6"/>
          <c:order val="6"/>
          <c:tx>
            <c:strRef>
              <c:f>[1]UDP13!$BW$20</c:f>
              <c:strCache>
                <c:ptCount val="1"/>
                <c:pt idx="0">
                  <c:v>Muy Importante</c:v>
                </c:pt>
              </c:strCache>
            </c:strRef>
          </c:tx>
          <c:invertIfNegative val="0"/>
          <c:dLbls>
            <c:numFmt formatCode="#,##0.0" sourceLinked="0"/>
            <c:showLegendKey val="0"/>
            <c:showVal val="1"/>
            <c:showCatName val="0"/>
            <c:showSerName val="0"/>
            <c:showPercent val="0"/>
            <c:showBubbleSize val="0"/>
            <c:showLeaderLines val="0"/>
          </c:dLbls>
          <c:cat>
            <c:strRef>
              <c:f>[1]UDP13!$BX$13:$BY$13</c:f>
              <c:strCache>
                <c:ptCount val="2"/>
                <c:pt idx="0">
                  <c:v>_x0014_Sí Simpatiza (23.2%)</c:v>
                </c:pt>
                <c:pt idx="1">
                  <c:v>_x0014_No Simpatiza (76.8%)</c:v>
                </c:pt>
              </c:strCache>
            </c:strRef>
          </c:cat>
          <c:val>
            <c:numRef>
              <c:f>[1]UDP13!$BX$20:$BY$20</c:f>
              <c:numCache>
                <c:formatCode>General</c:formatCode>
                <c:ptCount val="2"/>
                <c:pt idx="0">
                  <c:v>33.60655737704918</c:v>
                </c:pt>
                <c:pt idx="1">
                  <c:v>25.80645161290322</c:v>
                </c:pt>
              </c:numCache>
            </c:numRef>
          </c:val>
        </c:ser>
        <c:dLbls>
          <c:showLegendKey val="0"/>
          <c:showVal val="1"/>
          <c:showCatName val="0"/>
          <c:showSerName val="0"/>
          <c:showPercent val="0"/>
          <c:showBubbleSize val="0"/>
        </c:dLbls>
        <c:gapWidth val="75"/>
        <c:axId val="1567987208"/>
        <c:axId val="1561171656"/>
      </c:barChart>
      <c:catAx>
        <c:axId val="1567987208"/>
        <c:scaling>
          <c:orientation val="minMax"/>
        </c:scaling>
        <c:delete val="0"/>
        <c:axPos val="b"/>
        <c:majorTickMark val="none"/>
        <c:minorTickMark val="none"/>
        <c:tickLblPos val="nextTo"/>
        <c:crossAx val="1561171656"/>
        <c:crosses val="autoZero"/>
        <c:auto val="1"/>
        <c:lblAlgn val="ctr"/>
        <c:lblOffset val="100"/>
        <c:noMultiLvlLbl val="0"/>
      </c:catAx>
      <c:valAx>
        <c:axId val="1561171656"/>
        <c:scaling>
          <c:orientation val="minMax"/>
          <c:max val="100.0"/>
        </c:scaling>
        <c:delete val="0"/>
        <c:axPos val="l"/>
        <c:numFmt formatCode="General" sourceLinked="1"/>
        <c:majorTickMark val="none"/>
        <c:minorTickMark val="none"/>
        <c:tickLblPos val="nextTo"/>
        <c:crossAx val="1567987208"/>
        <c:crosses val="autoZero"/>
        <c:crossBetween val="between"/>
      </c:valAx>
    </c:plotArea>
    <c:legend>
      <c:legendPos val="b"/>
      <c:layout>
        <c:manualLayout>
          <c:xMode val="edge"/>
          <c:yMode val="edge"/>
          <c:x val="0.227410138169923"/>
          <c:y val="0.853002698265984"/>
          <c:w val="0.623482978167696"/>
          <c:h val="0.0680128282394222"/>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991268044619423"/>
          <c:y val="0.174997772788952"/>
          <c:w val="0.877956528871391"/>
          <c:h val="0.558937447023171"/>
        </c:manualLayout>
      </c:layout>
      <c:barChart>
        <c:barDir val="col"/>
        <c:grouping val="clustered"/>
        <c:varyColors val="0"/>
        <c:ser>
          <c:idx val="0"/>
          <c:order val="0"/>
          <c:tx>
            <c:strRef>
              <c:f>'UDP2'!$CJ$3</c:f>
              <c:strCache>
                <c:ptCount val="1"/>
                <c:pt idx="0">
                  <c:v>Nada Importante</c:v>
                </c:pt>
              </c:strCache>
            </c:strRef>
          </c:tx>
          <c:invertIfNegative val="0"/>
          <c:dLbls>
            <c:numFmt formatCode="#,##0.0" sourceLinked="0"/>
            <c:showLegendKey val="0"/>
            <c:showVal val="1"/>
            <c:showCatName val="0"/>
            <c:showSerName val="0"/>
            <c:showPercent val="0"/>
            <c:showBubbleSize val="0"/>
            <c:showLeaderLines val="0"/>
          </c:dLbls>
          <c:cat>
            <c:strRef>
              <c:f>'UDP2'!$CK$2:$CL$2</c:f>
              <c:strCache>
                <c:ptCount val="2"/>
                <c:pt idx="0">
                  <c:v>Inseguro de Votar (30.0%)</c:v>
                </c:pt>
                <c:pt idx="1">
                  <c:v>Probablemente Votará (70.0%)</c:v>
                </c:pt>
              </c:strCache>
            </c:strRef>
          </c:cat>
          <c:val>
            <c:numRef>
              <c:f>'UDP2'!$CK$3:$CL$3</c:f>
              <c:numCache>
                <c:formatCode>0.00</c:formatCode>
                <c:ptCount val="2"/>
                <c:pt idx="0">
                  <c:v>4.49826989619377</c:v>
                </c:pt>
                <c:pt idx="1">
                  <c:v>1.333333333333333</c:v>
                </c:pt>
              </c:numCache>
            </c:numRef>
          </c:val>
        </c:ser>
        <c:ser>
          <c:idx val="1"/>
          <c:order val="1"/>
          <c:tx>
            <c:strRef>
              <c:f>'UDP2'!$CJ$4</c:f>
              <c:strCache>
                <c:ptCount val="1"/>
                <c:pt idx="0">
                  <c:v>2</c:v>
                </c:pt>
              </c:strCache>
            </c:strRef>
          </c:tx>
          <c:invertIfNegative val="0"/>
          <c:dLbls>
            <c:numFmt formatCode="#,##0.0" sourceLinked="0"/>
            <c:showLegendKey val="0"/>
            <c:showVal val="1"/>
            <c:showCatName val="0"/>
            <c:showSerName val="0"/>
            <c:showPercent val="0"/>
            <c:showBubbleSize val="0"/>
            <c:showLeaderLines val="0"/>
          </c:dLbls>
          <c:cat>
            <c:strRef>
              <c:f>'UDP2'!$CK$2:$CL$2</c:f>
              <c:strCache>
                <c:ptCount val="2"/>
                <c:pt idx="0">
                  <c:v>Inseguro de Votar (30.0%)</c:v>
                </c:pt>
                <c:pt idx="1">
                  <c:v>Probablemente Votará (70.0%)</c:v>
                </c:pt>
              </c:strCache>
            </c:strRef>
          </c:cat>
          <c:val>
            <c:numRef>
              <c:f>'UDP2'!$CK$4:$CL$4</c:f>
              <c:numCache>
                <c:formatCode>0.00</c:formatCode>
                <c:ptCount val="2"/>
                <c:pt idx="0">
                  <c:v>1.730103806228374</c:v>
                </c:pt>
                <c:pt idx="1">
                  <c:v>0.444444444444444</c:v>
                </c:pt>
              </c:numCache>
            </c:numRef>
          </c:val>
        </c:ser>
        <c:ser>
          <c:idx val="2"/>
          <c:order val="2"/>
          <c:tx>
            <c:strRef>
              <c:f>'UDP2'!$CJ$5</c:f>
              <c:strCache>
                <c:ptCount val="1"/>
                <c:pt idx="0">
                  <c:v>3</c:v>
                </c:pt>
              </c:strCache>
            </c:strRef>
          </c:tx>
          <c:invertIfNegative val="0"/>
          <c:dLbls>
            <c:numFmt formatCode="#,##0.0" sourceLinked="0"/>
            <c:showLegendKey val="0"/>
            <c:showVal val="1"/>
            <c:showCatName val="0"/>
            <c:showSerName val="0"/>
            <c:showPercent val="0"/>
            <c:showBubbleSize val="0"/>
            <c:showLeaderLines val="0"/>
          </c:dLbls>
          <c:cat>
            <c:strRef>
              <c:f>'UDP2'!$CK$2:$CL$2</c:f>
              <c:strCache>
                <c:ptCount val="2"/>
                <c:pt idx="0">
                  <c:v>Inseguro de Votar (30.0%)</c:v>
                </c:pt>
                <c:pt idx="1">
                  <c:v>Probablemente Votará (70.0%)</c:v>
                </c:pt>
              </c:strCache>
            </c:strRef>
          </c:cat>
          <c:val>
            <c:numRef>
              <c:f>'UDP2'!$CK$5:$CL$5</c:f>
              <c:numCache>
                <c:formatCode>0.00</c:formatCode>
                <c:ptCount val="2"/>
                <c:pt idx="0">
                  <c:v>5.190311418685121</c:v>
                </c:pt>
                <c:pt idx="1">
                  <c:v>3.703703703703704</c:v>
                </c:pt>
              </c:numCache>
            </c:numRef>
          </c:val>
        </c:ser>
        <c:ser>
          <c:idx val="3"/>
          <c:order val="3"/>
          <c:tx>
            <c:strRef>
              <c:f>'UDP2'!$CJ$6</c:f>
              <c:strCache>
                <c:ptCount val="1"/>
                <c:pt idx="0">
                  <c:v>4</c:v>
                </c:pt>
              </c:strCache>
            </c:strRef>
          </c:tx>
          <c:invertIfNegative val="0"/>
          <c:dLbls>
            <c:numFmt formatCode="#,##0.0" sourceLinked="0"/>
            <c:showLegendKey val="0"/>
            <c:showVal val="1"/>
            <c:showCatName val="0"/>
            <c:showSerName val="0"/>
            <c:showPercent val="0"/>
            <c:showBubbleSize val="0"/>
            <c:showLeaderLines val="0"/>
          </c:dLbls>
          <c:cat>
            <c:strRef>
              <c:f>'UDP2'!$CK$2:$CL$2</c:f>
              <c:strCache>
                <c:ptCount val="2"/>
                <c:pt idx="0">
                  <c:v>Inseguro de Votar (30.0%)</c:v>
                </c:pt>
                <c:pt idx="1">
                  <c:v>Probablemente Votará (70.0%)</c:v>
                </c:pt>
              </c:strCache>
            </c:strRef>
          </c:cat>
          <c:val>
            <c:numRef>
              <c:f>'UDP2'!$CK$6:$CL$6</c:f>
              <c:numCache>
                <c:formatCode>0.00</c:formatCode>
                <c:ptCount val="2"/>
                <c:pt idx="0">
                  <c:v>19.03114186851211</c:v>
                </c:pt>
                <c:pt idx="1">
                  <c:v>12.0</c:v>
                </c:pt>
              </c:numCache>
            </c:numRef>
          </c:val>
        </c:ser>
        <c:ser>
          <c:idx val="4"/>
          <c:order val="4"/>
          <c:tx>
            <c:strRef>
              <c:f>'UDP2'!$CJ$7</c:f>
              <c:strCache>
                <c:ptCount val="1"/>
                <c:pt idx="0">
                  <c:v>5</c:v>
                </c:pt>
              </c:strCache>
            </c:strRef>
          </c:tx>
          <c:invertIfNegative val="0"/>
          <c:dLbls>
            <c:numFmt formatCode="#,##0.0" sourceLinked="0"/>
            <c:showLegendKey val="0"/>
            <c:showVal val="1"/>
            <c:showCatName val="0"/>
            <c:showSerName val="0"/>
            <c:showPercent val="0"/>
            <c:showBubbleSize val="0"/>
            <c:showLeaderLines val="0"/>
          </c:dLbls>
          <c:cat>
            <c:strRef>
              <c:f>'UDP2'!$CK$2:$CL$2</c:f>
              <c:strCache>
                <c:ptCount val="2"/>
                <c:pt idx="0">
                  <c:v>Inseguro de Votar (30.0%)</c:v>
                </c:pt>
                <c:pt idx="1">
                  <c:v>Probablemente Votará (70.0%)</c:v>
                </c:pt>
              </c:strCache>
            </c:strRef>
          </c:cat>
          <c:val>
            <c:numRef>
              <c:f>'UDP2'!$CK$7:$CL$7</c:f>
              <c:numCache>
                <c:formatCode>0.00</c:formatCode>
                <c:ptCount val="2"/>
                <c:pt idx="0">
                  <c:v>21.45328719723183</c:v>
                </c:pt>
                <c:pt idx="1">
                  <c:v>26.22222222222222</c:v>
                </c:pt>
              </c:numCache>
            </c:numRef>
          </c:val>
        </c:ser>
        <c:ser>
          <c:idx val="5"/>
          <c:order val="5"/>
          <c:tx>
            <c:strRef>
              <c:f>'UDP2'!$CJ$8</c:f>
              <c:strCache>
                <c:ptCount val="1"/>
                <c:pt idx="0">
                  <c:v>6</c:v>
                </c:pt>
              </c:strCache>
            </c:strRef>
          </c:tx>
          <c:invertIfNegative val="0"/>
          <c:dLbls>
            <c:numFmt formatCode="#,##0.0" sourceLinked="0"/>
            <c:showLegendKey val="0"/>
            <c:showVal val="1"/>
            <c:showCatName val="0"/>
            <c:showSerName val="0"/>
            <c:showPercent val="0"/>
            <c:showBubbleSize val="0"/>
            <c:showLeaderLines val="0"/>
          </c:dLbls>
          <c:cat>
            <c:strRef>
              <c:f>'UDP2'!$CK$2:$CL$2</c:f>
              <c:strCache>
                <c:ptCount val="2"/>
                <c:pt idx="0">
                  <c:v>Inseguro de Votar (30.0%)</c:v>
                </c:pt>
                <c:pt idx="1">
                  <c:v>Probablemente Votará (70.0%)</c:v>
                </c:pt>
              </c:strCache>
            </c:strRef>
          </c:cat>
          <c:val>
            <c:numRef>
              <c:f>'UDP2'!$CK$8:$CL$8</c:f>
              <c:numCache>
                <c:formatCode>0.00</c:formatCode>
                <c:ptCount val="2"/>
                <c:pt idx="0">
                  <c:v>21.79930795847751</c:v>
                </c:pt>
                <c:pt idx="1">
                  <c:v>28.74074074074074</c:v>
                </c:pt>
              </c:numCache>
            </c:numRef>
          </c:val>
        </c:ser>
        <c:ser>
          <c:idx val="6"/>
          <c:order val="6"/>
          <c:tx>
            <c:strRef>
              <c:f>'UDP2'!$CJ$9</c:f>
              <c:strCache>
                <c:ptCount val="1"/>
                <c:pt idx="0">
                  <c:v>Muy Importante</c:v>
                </c:pt>
              </c:strCache>
            </c:strRef>
          </c:tx>
          <c:invertIfNegative val="0"/>
          <c:dLbls>
            <c:numFmt formatCode="#,##0.0" sourceLinked="0"/>
            <c:showLegendKey val="0"/>
            <c:showVal val="1"/>
            <c:showCatName val="0"/>
            <c:showSerName val="0"/>
            <c:showPercent val="0"/>
            <c:showBubbleSize val="0"/>
            <c:showLeaderLines val="0"/>
          </c:dLbls>
          <c:cat>
            <c:strRef>
              <c:f>'UDP2'!$CK$2:$CL$2</c:f>
              <c:strCache>
                <c:ptCount val="2"/>
                <c:pt idx="0">
                  <c:v>Inseguro de Votar (30.0%)</c:v>
                </c:pt>
                <c:pt idx="1">
                  <c:v>Probablemente Votará (70.0%)</c:v>
                </c:pt>
              </c:strCache>
            </c:strRef>
          </c:cat>
          <c:val>
            <c:numRef>
              <c:f>'UDP2'!$CK$9:$CL$9</c:f>
              <c:numCache>
                <c:formatCode>0.00</c:formatCode>
                <c:ptCount val="2"/>
                <c:pt idx="0">
                  <c:v>26.29757785467128</c:v>
                </c:pt>
                <c:pt idx="1">
                  <c:v>27.55555555555556</c:v>
                </c:pt>
              </c:numCache>
            </c:numRef>
          </c:val>
        </c:ser>
        <c:dLbls>
          <c:showLegendKey val="0"/>
          <c:showVal val="1"/>
          <c:showCatName val="0"/>
          <c:showSerName val="0"/>
          <c:showPercent val="0"/>
          <c:showBubbleSize val="0"/>
        </c:dLbls>
        <c:gapWidth val="75"/>
        <c:axId val="1562045240"/>
        <c:axId val="1562048056"/>
      </c:barChart>
      <c:catAx>
        <c:axId val="1562045240"/>
        <c:scaling>
          <c:orientation val="minMax"/>
        </c:scaling>
        <c:delete val="0"/>
        <c:axPos val="b"/>
        <c:majorTickMark val="none"/>
        <c:minorTickMark val="none"/>
        <c:tickLblPos val="nextTo"/>
        <c:crossAx val="1562048056"/>
        <c:crosses val="autoZero"/>
        <c:auto val="1"/>
        <c:lblAlgn val="ctr"/>
        <c:lblOffset val="100"/>
        <c:noMultiLvlLbl val="0"/>
      </c:catAx>
      <c:valAx>
        <c:axId val="1562048056"/>
        <c:scaling>
          <c:orientation val="minMax"/>
          <c:max val="100.0"/>
        </c:scaling>
        <c:delete val="0"/>
        <c:axPos val="l"/>
        <c:numFmt formatCode="General" sourceLinked="0"/>
        <c:majorTickMark val="none"/>
        <c:minorTickMark val="none"/>
        <c:tickLblPos val="nextTo"/>
        <c:crossAx val="1562045240"/>
        <c:crosses val="autoZero"/>
        <c:crossBetween val="between"/>
      </c:valAx>
    </c:plotArea>
    <c:legend>
      <c:legendPos val="b"/>
      <c:layout>
        <c:manualLayout>
          <c:xMode val="edge"/>
          <c:yMode val="edge"/>
          <c:x val="0.205576771653543"/>
          <c:y val="0.835987605534713"/>
          <c:w val="0.645096456692914"/>
          <c:h val="0.0657859419584504"/>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a:pPr>
            <a:r>
              <a:rPr lang="es-CL" sz="1200" b="1" i="0" u="none" strike="noStrike" baseline="0" smtClean="0"/>
              <a:t>GRÁFICO 40</a:t>
            </a:r>
          </a:p>
          <a:p>
            <a:pPr algn="l">
              <a:defRPr/>
            </a:pPr>
            <a:r>
              <a:rPr lang="es-CL" sz="1200" b="0" i="0" u="none" strike="noStrike" baseline="0" smtClean="0"/>
              <a:t>Suponga que existen una o varias propuestas de reforma constitucional. ¿Cuál cree que es la mejor forma para elegir entre dichas reformas?</a:t>
            </a:r>
            <a:endParaRPr lang="es-CL" sz="1200"/>
          </a:p>
        </c:rich>
      </c:tx>
      <c:layout>
        <c:manualLayout>
          <c:xMode val="edge"/>
          <c:yMode val="edge"/>
          <c:x val="0.143619047619048"/>
          <c:y val="0.00758653276934133"/>
        </c:manualLayout>
      </c:layout>
      <c:overlay val="0"/>
    </c:title>
    <c:autoTitleDeleted val="0"/>
    <c:plotArea>
      <c:layout>
        <c:manualLayout>
          <c:layoutTarget val="inner"/>
          <c:xMode val="edge"/>
          <c:yMode val="edge"/>
          <c:x val="0.129940228059728"/>
          <c:y val="0.242968269774716"/>
          <c:w val="0.845409911996295"/>
          <c:h val="0.5132744528652"/>
        </c:manualLayout>
      </c:layout>
      <c:barChart>
        <c:barDir val="col"/>
        <c:grouping val="clustered"/>
        <c:varyColors val="0"/>
        <c:ser>
          <c:idx val="0"/>
          <c:order val="0"/>
          <c:invertIfNegative val="0"/>
          <c:dLbls>
            <c:numFmt formatCode="#,##0.0" sourceLinked="0"/>
            <c:showLegendKey val="0"/>
            <c:showVal val="1"/>
            <c:showCatName val="0"/>
            <c:showSerName val="0"/>
            <c:showPercent val="0"/>
            <c:showBubbleSize val="0"/>
            <c:showLeaderLines val="0"/>
          </c:dLbls>
          <c:cat>
            <c:strRef>
              <c:f>[1]LAPOP!$I$14:$I$15</c:f>
              <c:strCache>
                <c:ptCount val="2"/>
                <c:pt idx="0">
                  <c:v>_x0016_Que el Congreso decida</c:v>
                </c:pt>
                <c:pt idx="1">
                  <c:v> Que la ciudadanía decida votando</c:v>
                </c:pt>
              </c:strCache>
            </c:strRef>
          </c:cat>
          <c:val>
            <c:numRef>
              <c:f>[1]LAPOP!$J$14:$J$15</c:f>
              <c:numCache>
                <c:formatCode>General</c:formatCode>
                <c:ptCount val="2"/>
                <c:pt idx="0">
                  <c:v>10.43901867253618</c:v>
                </c:pt>
                <c:pt idx="1">
                  <c:v>89.56098132746382</c:v>
                </c:pt>
              </c:numCache>
            </c:numRef>
          </c:val>
        </c:ser>
        <c:dLbls>
          <c:showLegendKey val="0"/>
          <c:showVal val="0"/>
          <c:showCatName val="0"/>
          <c:showSerName val="0"/>
          <c:showPercent val="0"/>
          <c:showBubbleSize val="0"/>
        </c:dLbls>
        <c:gapWidth val="150"/>
        <c:axId val="1572557928"/>
        <c:axId val="1566763640"/>
      </c:barChart>
      <c:valAx>
        <c:axId val="1566763640"/>
        <c:scaling>
          <c:orientation val="minMax"/>
        </c:scaling>
        <c:delete val="0"/>
        <c:axPos val="l"/>
        <c:numFmt formatCode="General" sourceLinked="1"/>
        <c:majorTickMark val="out"/>
        <c:minorTickMark val="none"/>
        <c:tickLblPos val="nextTo"/>
        <c:crossAx val="1572557928"/>
        <c:crosses val="autoZero"/>
        <c:crossBetween val="between"/>
      </c:valAx>
      <c:catAx>
        <c:axId val="1572557928"/>
        <c:scaling>
          <c:orientation val="minMax"/>
        </c:scaling>
        <c:delete val="0"/>
        <c:axPos val="b"/>
        <c:majorTickMark val="out"/>
        <c:minorTickMark val="none"/>
        <c:tickLblPos val="nextTo"/>
        <c:crossAx val="1566763640"/>
        <c:crosses val="autoZero"/>
        <c:auto val="1"/>
        <c:lblAlgn val="ctr"/>
        <c:lblOffset val="100"/>
        <c:noMultiLvlLbl val="0"/>
      </c:catAx>
      <c:spPr>
        <a:noFill/>
        <a:ln w="25400">
          <a:noFill/>
        </a:ln>
      </c:spPr>
    </c:plotArea>
    <c:plotVisOnly val="1"/>
    <c:dispBlanksAs val="gap"/>
    <c:showDLblsOverMax val="0"/>
  </c:chart>
  <c:printSettings>
    <c:headerFooter/>
    <c:pageMargins b="0.75" l="0.7" r="0.7" t="0.75" header="0.3" footer="0.3"/>
    <c:pageSetup/>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3171202212975"/>
          <c:y val="0.182302958344736"/>
          <c:w val="0.823797550634501"/>
          <c:h val="0.542381791463423"/>
        </c:manualLayout>
      </c:layout>
      <c:barChart>
        <c:barDir val="col"/>
        <c:grouping val="clustered"/>
        <c:varyColors val="0"/>
        <c:ser>
          <c:idx val="0"/>
          <c:order val="0"/>
          <c:tx>
            <c:strRef>
              <c:f>[1]LAPOP3!$C$14</c:f>
              <c:strCache>
                <c:ptCount val="1"/>
                <c:pt idx="0">
                  <c:v>Que el Congreso decida</c:v>
                </c:pt>
              </c:strCache>
            </c:strRef>
          </c:tx>
          <c:invertIfNegative val="0"/>
          <c:dLbls>
            <c:numFmt formatCode="#,##0.0" sourceLinked="0"/>
            <c:showLegendKey val="0"/>
            <c:showVal val="1"/>
            <c:showCatName val="0"/>
            <c:showSerName val="0"/>
            <c:showPercent val="0"/>
            <c:showBubbleSize val="0"/>
            <c:showLeaderLines val="0"/>
          </c:dLbls>
          <c:cat>
            <c:strRef>
              <c:f>[1]LAPOP3!$D$13:$E$13</c:f>
              <c:strCache>
                <c:ptCount val="2"/>
                <c:pt idx="0">
                  <c:v>_x000e_Hombre (47.5%)</c:v>
                </c:pt>
                <c:pt idx="1">
                  <c:v>_x000d_Mujer (52.5%)</c:v>
                </c:pt>
              </c:strCache>
            </c:strRef>
          </c:cat>
          <c:val>
            <c:numRef>
              <c:f>[1]LAPOP3!$D$14:$E$14</c:f>
              <c:numCache>
                <c:formatCode>General</c:formatCode>
                <c:ptCount val="2"/>
                <c:pt idx="0">
                  <c:v>10.8761329305136</c:v>
                </c:pt>
                <c:pt idx="1">
                  <c:v>10.09549795361528</c:v>
                </c:pt>
              </c:numCache>
            </c:numRef>
          </c:val>
        </c:ser>
        <c:ser>
          <c:idx val="1"/>
          <c:order val="1"/>
          <c:tx>
            <c:strRef>
              <c:f>[1]LAPOP3!$C$15</c:f>
              <c:strCache>
                <c:ptCount val="1"/>
                <c:pt idx="0">
                  <c:v>Que la ciudadanía decida </c:v>
                </c:pt>
              </c:strCache>
            </c:strRef>
          </c:tx>
          <c:invertIfNegative val="0"/>
          <c:dLbls>
            <c:dLbl>
              <c:idx val="0"/>
              <c:numFmt formatCode="#,##0.0" sourceLinked="0"/>
              <c:spPr/>
              <c:txPr>
                <a:bodyPr/>
                <a:lstStyle/>
                <a:p>
                  <a:pPr>
                    <a:defRPr/>
                  </a:pPr>
                  <a:endParaRPr lang="es-ES"/>
                </a:p>
              </c:txPr>
              <c:showLegendKey val="0"/>
              <c:showVal val="1"/>
              <c:showCatName val="0"/>
              <c:showSerName val="0"/>
              <c:showPercent val="0"/>
              <c:showBubbleSize val="0"/>
            </c:dLbl>
            <c:dLbl>
              <c:idx val="1"/>
              <c:numFmt formatCode="#,##0.0" sourceLinked="0"/>
              <c:spPr/>
              <c:txPr>
                <a:bodyPr/>
                <a:lstStyle/>
                <a:p>
                  <a:pPr>
                    <a:defRPr/>
                  </a:pPr>
                  <a:endParaRPr lang="es-ES"/>
                </a:p>
              </c:txPr>
              <c:showLegendKey val="0"/>
              <c:showVal val="1"/>
              <c:showCatName val="0"/>
              <c:showSerName val="0"/>
              <c:showPercent val="0"/>
              <c:showBubbleSize val="0"/>
            </c:dLbl>
            <c:showLegendKey val="0"/>
            <c:showVal val="1"/>
            <c:showCatName val="0"/>
            <c:showSerName val="0"/>
            <c:showPercent val="0"/>
            <c:showBubbleSize val="0"/>
            <c:showLeaderLines val="0"/>
          </c:dLbls>
          <c:cat>
            <c:strRef>
              <c:f>[1]LAPOP3!$D$13:$E$13</c:f>
              <c:strCache>
                <c:ptCount val="2"/>
                <c:pt idx="0">
                  <c:v>_x000e_Hombre (47.5%)</c:v>
                </c:pt>
                <c:pt idx="1">
                  <c:v>_x000d_Mujer (52.5%)</c:v>
                </c:pt>
              </c:strCache>
            </c:strRef>
          </c:cat>
          <c:val>
            <c:numRef>
              <c:f>[1]LAPOP3!$D$15:$E$15</c:f>
              <c:numCache>
                <c:formatCode>General</c:formatCode>
                <c:ptCount val="2"/>
                <c:pt idx="0">
                  <c:v>89.12386706948641</c:v>
                </c:pt>
                <c:pt idx="1">
                  <c:v>89.90450204638472</c:v>
                </c:pt>
              </c:numCache>
            </c:numRef>
          </c:val>
        </c:ser>
        <c:dLbls>
          <c:showLegendKey val="0"/>
          <c:showVal val="1"/>
          <c:showCatName val="0"/>
          <c:showSerName val="0"/>
          <c:showPercent val="0"/>
          <c:showBubbleSize val="0"/>
        </c:dLbls>
        <c:gapWidth val="75"/>
        <c:axId val="1877493240"/>
        <c:axId val="1877828520"/>
      </c:barChart>
      <c:catAx>
        <c:axId val="1877493240"/>
        <c:scaling>
          <c:orientation val="minMax"/>
        </c:scaling>
        <c:delete val="0"/>
        <c:axPos val="b"/>
        <c:majorTickMark val="none"/>
        <c:minorTickMark val="none"/>
        <c:tickLblPos val="nextTo"/>
        <c:crossAx val="1877828520"/>
        <c:crosses val="autoZero"/>
        <c:auto val="1"/>
        <c:lblAlgn val="ctr"/>
        <c:lblOffset val="100"/>
        <c:noMultiLvlLbl val="0"/>
      </c:catAx>
      <c:valAx>
        <c:axId val="1877828520"/>
        <c:scaling>
          <c:orientation val="minMax"/>
        </c:scaling>
        <c:delete val="0"/>
        <c:axPos val="l"/>
        <c:numFmt formatCode="General" sourceLinked="1"/>
        <c:majorTickMark val="none"/>
        <c:minorTickMark val="none"/>
        <c:tickLblPos val="nextTo"/>
        <c:crossAx val="1877493240"/>
        <c:crosses val="autoZero"/>
        <c:crossBetween val="between"/>
      </c:valAx>
    </c:plotArea>
    <c:legend>
      <c:legendPos val="b"/>
      <c:layout>
        <c:manualLayout>
          <c:xMode val="edge"/>
          <c:yMode val="edge"/>
          <c:x val="0.175691697074451"/>
          <c:y val="0.821643268862137"/>
          <c:w val="0.666671787977722"/>
          <c:h val="0.0699870968213809"/>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4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952116279582699"/>
          <c:y val="0.158354540481838"/>
          <c:w val="0.882379408456296"/>
          <c:h val="0.577857752724402"/>
        </c:manualLayout>
      </c:layout>
      <c:barChart>
        <c:barDir val="col"/>
        <c:grouping val="clustered"/>
        <c:varyColors val="0"/>
        <c:ser>
          <c:idx val="0"/>
          <c:order val="0"/>
          <c:tx>
            <c:strRef>
              <c:f>[1]LAPOP3!$L$17</c:f>
              <c:strCache>
                <c:ptCount val="1"/>
                <c:pt idx="0">
                  <c:v>Que el Congreso decida</c:v>
                </c:pt>
              </c:strCache>
            </c:strRef>
          </c:tx>
          <c:invertIfNegative val="0"/>
          <c:dLbls>
            <c:numFmt formatCode="#,##0.0" sourceLinked="0"/>
            <c:showLegendKey val="0"/>
            <c:showVal val="1"/>
            <c:showCatName val="0"/>
            <c:showSerName val="0"/>
            <c:showPercent val="0"/>
            <c:showBubbleSize val="0"/>
            <c:showLeaderLines val="0"/>
          </c:dLbls>
          <c:cat>
            <c:strRef>
              <c:f>[1]LAPOP3!$M$16:$P$16</c:f>
              <c:strCache>
                <c:ptCount val="4"/>
                <c:pt idx="0">
                  <c:v>_x0014_18 a 29 años (26.9%)</c:v>
                </c:pt>
                <c:pt idx="1">
                  <c:v>_x0014_30 a 45 años (28.5%)</c:v>
                </c:pt>
                <c:pt idx="2">
                  <c:v>_x0014_46 a 60 años (25.2%)</c:v>
                </c:pt>
                <c:pt idx="3">
                  <c:v>_x0015_61 años y más (19.5%)</c:v>
                </c:pt>
              </c:strCache>
            </c:strRef>
          </c:cat>
          <c:val>
            <c:numRef>
              <c:f>[1]LAPOP3!$M$17:$P$17</c:f>
              <c:numCache>
                <c:formatCode>General</c:formatCode>
                <c:ptCount val="4"/>
                <c:pt idx="0">
                  <c:v>8.799999999999998</c:v>
                </c:pt>
                <c:pt idx="1">
                  <c:v>9.319899244332493</c:v>
                </c:pt>
                <c:pt idx="2">
                  <c:v>11.3960113960114</c:v>
                </c:pt>
                <c:pt idx="3">
                  <c:v>14.33823529411765</c:v>
                </c:pt>
              </c:numCache>
            </c:numRef>
          </c:val>
        </c:ser>
        <c:ser>
          <c:idx val="1"/>
          <c:order val="1"/>
          <c:tx>
            <c:strRef>
              <c:f>[1]LAPOP3!$L$18</c:f>
              <c:strCache>
                <c:ptCount val="1"/>
                <c:pt idx="0">
                  <c:v>Que la ciudadanía decida </c:v>
                </c:pt>
              </c:strCache>
            </c:strRef>
          </c:tx>
          <c:invertIfNegative val="0"/>
          <c:dLbls>
            <c:numFmt formatCode="#,##0.0" sourceLinked="0"/>
            <c:showLegendKey val="0"/>
            <c:showVal val="1"/>
            <c:showCatName val="0"/>
            <c:showSerName val="0"/>
            <c:showPercent val="0"/>
            <c:showBubbleSize val="0"/>
            <c:showLeaderLines val="0"/>
          </c:dLbls>
          <c:cat>
            <c:strRef>
              <c:f>[1]LAPOP3!$M$16:$P$16</c:f>
              <c:strCache>
                <c:ptCount val="4"/>
                <c:pt idx="0">
                  <c:v>_x0014_18 a 29 años (26.9%)</c:v>
                </c:pt>
                <c:pt idx="1">
                  <c:v>_x0014_30 a 45 años (28.5%)</c:v>
                </c:pt>
                <c:pt idx="2">
                  <c:v>_x0014_46 a 60 años (25.2%)</c:v>
                </c:pt>
                <c:pt idx="3">
                  <c:v>_x0015_61 años y más (19.5%)</c:v>
                </c:pt>
              </c:strCache>
            </c:strRef>
          </c:cat>
          <c:val>
            <c:numRef>
              <c:f>[1]LAPOP3!$M$18:$P$18</c:f>
              <c:numCache>
                <c:formatCode>General</c:formatCode>
                <c:ptCount val="4"/>
                <c:pt idx="0">
                  <c:v>91.2</c:v>
                </c:pt>
                <c:pt idx="1">
                  <c:v>90.6801007556675</c:v>
                </c:pt>
                <c:pt idx="2">
                  <c:v>88.6039886039886</c:v>
                </c:pt>
                <c:pt idx="3">
                  <c:v>85.66176470588234</c:v>
                </c:pt>
              </c:numCache>
            </c:numRef>
          </c:val>
        </c:ser>
        <c:dLbls>
          <c:showLegendKey val="0"/>
          <c:showVal val="1"/>
          <c:showCatName val="0"/>
          <c:showSerName val="0"/>
          <c:showPercent val="0"/>
          <c:showBubbleSize val="0"/>
        </c:dLbls>
        <c:gapWidth val="75"/>
        <c:axId val="1877428232"/>
        <c:axId val="1877270888"/>
      </c:barChart>
      <c:catAx>
        <c:axId val="1877428232"/>
        <c:scaling>
          <c:orientation val="minMax"/>
        </c:scaling>
        <c:delete val="0"/>
        <c:axPos val="b"/>
        <c:majorTickMark val="none"/>
        <c:minorTickMark val="none"/>
        <c:tickLblPos val="nextTo"/>
        <c:crossAx val="1877270888"/>
        <c:crosses val="autoZero"/>
        <c:auto val="1"/>
        <c:lblAlgn val="ctr"/>
        <c:lblOffset val="100"/>
        <c:noMultiLvlLbl val="0"/>
      </c:catAx>
      <c:valAx>
        <c:axId val="1877270888"/>
        <c:scaling>
          <c:orientation val="minMax"/>
        </c:scaling>
        <c:delete val="0"/>
        <c:axPos val="l"/>
        <c:numFmt formatCode="General" sourceLinked="1"/>
        <c:majorTickMark val="none"/>
        <c:minorTickMark val="none"/>
        <c:tickLblPos val="nextTo"/>
        <c:crossAx val="1877428232"/>
        <c:crosses val="autoZero"/>
        <c:crossBetween val="between"/>
      </c:valAx>
    </c:plotArea>
    <c:legend>
      <c:legendPos val="b"/>
      <c:layout>
        <c:manualLayout>
          <c:xMode val="edge"/>
          <c:yMode val="edge"/>
          <c:x val="0.253032635626429"/>
          <c:y val="0.841719202052471"/>
          <c:w val="0.595202785581451"/>
          <c:h val="0.0680128282394222"/>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579108645902"/>
          <c:y val="0.160293334799625"/>
          <c:w val="0.850531959367148"/>
          <c:h val="0.541837943792301"/>
        </c:manualLayout>
      </c:layout>
      <c:barChart>
        <c:barDir val="col"/>
        <c:grouping val="clustered"/>
        <c:varyColors val="0"/>
        <c:ser>
          <c:idx val="0"/>
          <c:order val="0"/>
          <c:tx>
            <c:strRef>
              <c:f>[1]LAPOP3!$CK$13</c:f>
              <c:strCache>
                <c:ptCount val="1"/>
                <c:pt idx="0">
                  <c:v>Que el Congreso decida</c:v>
                </c:pt>
              </c:strCache>
            </c:strRef>
          </c:tx>
          <c:invertIfNegative val="0"/>
          <c:dLbls>
            <c:numFmt formatCode="#,##0.0" sourceLinked="0"/>
            <c:showLegendKey val="0"/>
            <c:showVal val="1"/>
            <c:showCatName val="0"/>
            <c:showSerName val="0"/>
            <c:showPercent val="0"/>
            <c:showBubbleSize val="0"/>
            <c:showLeaderLines val="0"/>
          </c:dLbls>
          <c:cat>
            <c:strRef>
              <c:f>[1]LAPOP3!$CL$12:$CO$12</c:f>
              <c:strCache>
                <c:ptCount val="4"/>
                <c:pt idx="0">
                  <c:v>_x000e_Básica (24.1%)</c:v>
                </c:pt>
                <c:pt idx="1">
                  <c:v>_x000d_Media (47.0%)</c:v>
                </c:pt>
                <c:pt idx="2">
                  <c:v>_x0014_Técnico Sup. (20.6%)</c:v>
                </c:pt>
                <c:pt idx="3">
                  <c:v>_x0014_Universitaria (8.3%)</c:v>
                </c:pt>
              </c:strCache>
            </c:strRef>
          </c:cat>
          <c:val>
            <c:numRef>
              <c:f>[1]LAPOP3!$CL$13:$CO$13</c:f>
              <c:numCache>
                <c:formatCode>General</c:formatCode>
                <c:ptCount val="4"/>
                <c:pt idx="0">
                  <c:v>11.34328358208955</c:v>
                </c:pt>
                <c:pt idx="1">
                  <c:v>10.260336906585</c:v>
                </c:pt>
                <c:pt idx="2">
                  <c:v>9.565217391304347</c:v>
                </c:pt>
                <c:pt idx="3">
                  <c:v>10.10452961672474</c:v>
                </c:pt>
              </c:numCache>
            </c:numRef>
          </c:val>
        </c:ser>
        <c:ser>
          <c:idx val="1"/>
          <c:order val="1"/>
          <c:tx>
            <c:strRef>
              <c:f>[1]LAPOP3!$CK$14</c:f>
              <c:strCache>
                <c:ptCount val="1"/>
                <c:pt idx="0">
                  <c:v>Que la ciudadanía decida </c:v>
                </c:pt>
              </c:strCache>
            </c:strRef>
          </c:tx>
          <c:invertIfNegative val="0"/>
          <c:dLbls>
            <c:numFmt formatCode="#,##0.0" sourceLinked="0"/>
            <c:showLegendKey val="0"/>
            <c:showVal val="1"/>
            <c:showCatName val="0"/>
            <c:showSerName val="0"/>
            <c:showPercent val="0"/>
            <c:showBubbleSize val="0"/>
            <c:showLeaderLines val="0"/>
          </c:dLbls>
          <c:cat>
            <c:strRef>
              <c:f>[1]LAPOP3!$CL$12:$CO$12</c:f>
              <c:strCache>
                <c:ptCount val="4"/>
                <c:pt idx="0">
                  <c:v>_x000e_Básica (24.1%)</c:v>
                </c:pt>
                <c:pt idx="1">
                  <c:v>_x000d_Media (47.0%)</c:v>
                </c:pt>
                <c:pt idx="2">
                  <c:v>_x0014_Técnico Sup. (20.6%)</c:v>
                </c:pt>
                <c:pt idx="3">
                  <c:v>_x0014_Universitaria (8.3%)</c:v>
                </c:pt>
              </c:strCache>
            </c:strRef>
          </c:cat>
          <c:val>
            <c:numRef>
              <c:f>[1]LAPOP3!$CL$14:$CO$14</c:f>
              <c:numCache>
                <c:formatCode>General</c:formatCode>
                <c:ptCount val="4"/>
                <c:pt idx="0">
                  <c:v>88.65671641791046</c:v>
                </c:pt>
                <c:pt idx="1">
                  <c:v>89.739663093415</c:v>
                </c:pt>
                <c:pt idx="2">
                  <c:v>90.43478260869565</c:v>
                </c:pt>
                <c:pt idx="3">
                  <c:v>89.89547038327527</c:v>
                </c:pt>
              </c:numCache>
            </c:numRef>
          </c:val>
        </c:ser>
        <c:dLbls>
          <c:showLegendKey val="0"/>
          <c:showVal val="1"/>
          <c:showCatName val="0"/>
          <c:showSerName val="0"/>
          <c:showPercent val="0"/>
          <c:showBubbleSize val="0"/>
        </c:dLbls>
        <c:gapWidth val="75"/>
        <c:axId val="1876960984"/>
        <c:axId val="1877825976"/>
      </c:barChart>
      <c:catAx>
        <c:axId val="1876960984"/>
        <c:scaling>
          <c:orientation val="minMax"/>
        </c:scaling>
        <c:delete val="0"/>
        <c:axPos val="b"/>
        <c:majorTickMark val="none"/>
        <c:minorTickMark val="none"/>
        <c:tickLblPos val="nextTo"/>
        <c:crossAx val="1877825976"/>
        <c:crosses val="autoZero"/>
        <c:auto val="1"/>
        <c:lblAlgn val="ctr"/>
        <c:lblOffset val="100"/>
        <c:noMultiLvlLbl val="0"/>
      </c:catAx>
      <c:valAx>
        <c:axId val="1877825976"/>
        <c:scaling>
          <c:orientation val="minMax"/>
        </c:scaling>
        <c:delete val="0"/>
        <c:axPos val="l"/>
        <c:numFmt formatCode="General" sourceLinked="1"/>
        <c:majorTickMark val="none"/>
        <c:minorTickMark val="none"/>
        <c:tickLblPos val="nextTo"/>
        <c:crossAx val="1876960984"/>
        <c:crosses val="autoZero"/>
        <c:crossBetween val="between"/>
      </c:valAx>
    </c:plotArea>
    <c:legend>
      <c:legendPos val="b"/>
      <c:layout>
        <c:manualLayout>
          <c:xMode val="edge"/>
          <c:yMode val="edge"/>
          <c:x val="0.214830732365351"/>
          <c:y val="0.830856952607572"/>
          <c:w val="0.583474651875412"/>
          <c:h val="0.0693828706157034"/>
        </c:manualLayout>
      </c:layout>
      <c:overlay val="0"/>
      <c:spPr>
        <a:noFill/>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234444959086"/>
          <c:y val="0.152119539861853"/>
          <c:w val="0.869955805156708"/>
          <c:h val="0.585634631387099"/>
        </c:manualLayout>
      </c:layout>
      <c:barChart>
        <c:barDir val="col"/>
        <c:grouping val="clustered"/>
        <c:varyColors val="0"/>
        <c:ser>
          <c:idx val="0"/>
          <c:order val="0"/>
          <c:tx>
            <c:strRef>
              <c:f>[1]LAPOP3!$CT$15:$CU$15</c:f>
              <c:strCache>
                <c:ptCount val="1"/>
                <c:pt idx="0">
                  <c:v>Que el Congreso decida</c:v>
                </c:pt>
              </c:strCache>
            </c:strRef>
          </c:tx>
          <c:invertIfNegative val="0"/>
          <c:dLbls>
            <c:numFmt formatCode="#,##0.0" sourceLinked="0"/>
            <c:showLegendKey val="0"/>
            <c:showVal val="1"/>
            <c:showCatName val="0"/>
            <c:showSerName val="0"/>
            <c:showPercent val="0"/>
            <c:showBubbleSize val="0"/>
            <c:showLeaderLines val="0"/>
          </c:dLbls>
          <c:cat>
            <c:strRef>
              <c:f>[1]LAPOP3!$CV$14:$CW$14</c:f>
              <c:strCache>
                <c:ptCount val="2"/>
                <c:pt idx="0">
                  <c:v>"Sí pertenece a algún pueblo (5.5%)</c:v>
                </c:pt>
                <c:pt idx="1">
                  <c:v>$No pertenece a ningún pueblo (94.5%)</c:v>
                </c:pt>
              </c:strCache>
            </c:strRef>
          </c:cat>
          <c:val>
            <c:numRef>
              <c:f>[1]LAPOP3!$CV$15:$CW$15</c:f>
              <c:numCache>
                <c:formatCode>General</c:formatCode>
                <c:ptCount val="2"/>
                <c:pt idx="0">
                  <c:v>9.333333333333333</c:v>
                </c:pt>
                <c:pt idx="1">
                  <c:v>10.60722521137586</c:v>
                </c:pt>
              </c:numCache>
            </c:numRef>
          </c:val>
        </c:ser>
        <c:ser>
          <c:idx val="1"/>
          <c:order val="1"/>
          <c:tx>
            <c:strRef>
              <c:f>[1]LAPOP3!$CT$16:$CU$16</c:f>
              <c:strCache>
                <c:ptCount val="1"/>
                <c:pt idx="0">
                  <c:v>Que la ciudadanía decida </c:v>
                </c:pt>
              </c:strCache>
            </c:strRef>
          </c:tx>
          <c:invertIfNegative val="0"/>
          <c:dLbls>
            <c:numFmt formatCode="#,##0.0" sourceLinked="0"/>
            <c:showLegendKey val="0"/>
            <c:showVal val="1"/>
            <c:showCatName val="0"/>
            <c:showSerName val="0"/>
            <c:showPercent val="0"/>
            <c:showBubbleSize val="0"/>
            <c:showLeaderLines val="0"/>
          </c:dLbls>
          <c:cat>
            <c:strRef>
              <c:f>[1]LAPOP3!$CV$14:$CW$14</c:f>
              <c:strCache>
                <c:ptCount val="2"/>
                <c:pt idx="0">
                  <c:v>"Sí pertenece a algún pueblo (5.5%)</c:v>
                </c:pt>
                <c:pt idx="1">
                  <c:v>$No pertenece a ningún pueblo (94.5%)</c:v>
                </c:pt>
              </c:strCache>
            </c:strRef>
          </c:cat>
          <c:val>
            <c:numRef>
              <c:f>[1]LAPOP3!$CV$16:$CW$16</c:f>
              <c:numCache>
                <c:formatCode>General</c:formatCode>
                <c:ptCount val="2"/>
                <c:pt idx="0">
                  <c:v>90.66666666666667</c:v>
                </c:pt>
                <c:pt idx="1">
                  <c:v>89.39277478862414</c:v>
                </c:pt>
              </c:numCache>
            </c:numRef>
          </c:val>
        </c:ser>
        <c:dLbls>
          <c:showLegendKey val="0"/>
          <c:showVal val="1"/>
          <c:showCatName val="0"/>
          <c:showSerName val="0"/>
          <c:showPercent val="0"/>
          <c:showBubbleSize val="0"/>
        </c:dLbls>
        <c:gapWidth val="75"/>
        <c:axId val="1560660968"/>
        <c:axId val="1561158328"/>
      </c:barChart>
      <c:catAx>
        <c:axId val="1560660968"/>
        <c:scaling>
          <c:orientation val="minMax"/>
        </c:scaling>
        <c:delete val="0"/>
        <c:axPos val="b"/>
        <c:majorTickMark val="none"/>
        <c:minorTickMark val="none"/>
        <c:tickLblPos val="nextTo"/>
        <c:crossAx val="1561158328"/>
        <c:crosses val="autoZero"/>
        <c:auto val="1"/>
        <c:lblAlgn val="ctr"/>
        <c:lblOffset val="100"/>
        <c:noMultiLvlLbl val="0"/>
      </c:catAx>
      <c:valAx>
        <c:axId val="1561158328"/>
        <c:scaling>
          <c:orientation val="minMax"/>
        </c:scaling>
        <c:delete val="0"/>
        <c:axPos val="l"/>
        <c:numFmt formatCode="General" sourceLinked="1"/>
        <c:majorTickMark val="none"/>
        <c:minorTickMark val="none"/>
        <c:tickLblPos val="nextTo"/>
        <c:crossAx val="1560660968"/>
        <c:crosses val="autoZero"/>
        <c:crossBetween val="between"/>
      </c:valAx>
    </c:plotArea>
    <c:legend>
      <c:legendPos val="b"/>
      <c:layout>
        <c:manualLayout>
          <c:xMode val="edge"/>
          <c:yMode val="edge"/>
          <c:x val="0.223688821985487"/>
          <c:y val="0.844161565669207"/>
          <c:w val="0.653191292264938"/>
          <c:h val="0.0685933074833679"/>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4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952105476611342"/>
          <c:y val="0.167278725158335"/>
          <c:w val="0.883409471775212"/>
          <c:h val="0.568893449840066"/>
        </c:manualLayout>
      </c:layout>
      <c:barChart>
        <c:barDir val="col"/>
        <c:grouping val="clustered"/>
        <c:varyColors val="0"/>
        <c:ser>
          <c:idx val="0"/>
          <c:order val="0"/>
          <c:tx>
            <c:strRef>
              <c:f>[1]LAPOP3!$DD$20</c:f>
              <c:strCache>
                <c:ptCount val="1"/>
                <c:pt idx="0">
                  <c:v>Que el Congreso decida</c:v>
                </c:pt>
              </c:strCache>
            </c:strRef>
          </c:tx>
          <c:invertIfNegative val="0"/>
          <c:dLbls>
            <c:numFmt formatCode="#,##0.0" sourceLinked="0"/>
            <c:showLegendKey val="0"/>
            <c:showVal val="1"/>
            <c:showCatName val="0"/>
            <c:showSerName val="0"/>
            <c:showPercent val="0"/>
            <c:showBubbleSize val="0"/>
            <c:showLeaderLines val="0"/>
          </c:dLbls>
          <c:cat>
            <c:strRef>
              <c:f>[1]LAPOP3!$DE$19:$DG$19</c:f>
              <c:strCache>
                <c:ptCount val="3"/>
                <c:pt idx="0">
                  <c:v>_x0011_Izquierda (21.7%)</c:v>
                </c:pt>
                <c:pt idx="1">
                  <c:v>_x000e_Centro (64.1%)</c:v>
                </c:pt>
                <c:pt idx="2">
                  <c:v>_x000f_Derecha (14.2%)</c:v>
                </c:pt>
              </c:strCache>
            </c:strRef>
          </c:cat>
          <c:val>
            <c:numRef>
              <c:f>[1]LAPOP3!$DE$20:$DG$20</c:f>
              <c:numCache>
                <c:formatCode>General</c:formatCode>
                <c:ptCount val="3"/>
                <c:pt idx="0">
                  <c:v>7.659574468085106</c:v>
                </c:pt>
                <c:pt idx="1">
                  <c:v>11.38328530259366</c:v>
                </c:pt>
                <c:pt idx="2">
                  <c:v>17.53246753246753</c:v>
                </c:pt>
              </c:numCache>
            </c:numRef>
          </c:val>
        </c:ser>
        <c:ser>
          <c:idx val="1"/>
          <c:order val="1"/>
          <c:tx>
            <c:strRef>
              <c:f>[1]LAPOP3!$DD$21</c:f>
              <c:strCache>
                <c:ptCount val="1"/>
                <c:pt idx="0">
                  <c:v>Que la ciudadanía decida </c:v>
                </c:pt>
              </c:strCache>
            </c:strRef>
          </c:tx>
          <c:invertIfNegative val="0"/>
          <c:dLbls>
            <c:numFmt formatCode="#,##0.0" sourceLinked="0"/>
            <c:showLegendKey val="0"/>
            <c:showVal val="1"/>
            <c:showCatName val="0"/>
            <c:showSerName val="0"/>
            <c:showPercent val="0"/>
            <c:showBubbleSize val="0"/>
            <c:showLeaderLines val="0"/>
          </c:dLbls>
          <c:cat>
            <c:strRef>
              <c:f>[1]LAPOP3!$DE$19:$DG$19</c:f>
              <c:strCache>
                <c:ptCount val="3"/>
                <c:pt idx="0">
                  <c:v>_x0011_Izquierda (21.7%)</c:v>
                </c:pt>
                <c:pt idx="1">
                  <c:v>_x000e_Centro (64.1%)</c:v>
                </c:pt>
                <c:pt idx="2">
                  <c:v>_x000f_Derecha (14.2%)</c:v>
                </c:pt>
              </c:strCache>
            </c:strRef>
          </c:cat>
          <c:val>
            <c:numRef>
              <c:f>[1]LAPOP3!$DE$21:$DG$21</c:f>
              <c:numCache>
                <c:formatCode>General</c:formatCode>
                <c:ptCount val="3"/>
                <c:pt idx="0">
                  <c:v>92.34042553191488</c:v>
                </c:pt>
                <c:pt idx="1">
                  <c:v>88.61671469740634</c:v>
                </c:pt>
                <c:pt idx="2">
                  <c:v>82.46753246753246</c:v>
                </c:pt>
              </c:numCache>
            </c:numRef>
          </c:val>
        </c:ser>
        <c:dLbls>
          <c:showLegendKey val="0"/>
          <c:showVal val="1"/>
          <c:showCatName val="0"/>
          <c:showSerName val="0"/>
          <c:showPercent val="0"/>
          <c:showBubbleSize val="0"/>
        </c:dLbls>
        <c:gapWidth val="75"/>
        <c:axId val="1877980888"/>
        <c:axId val="1877978520"/>
      </c:barChart>
      <c:catAx>
        <c:axId val="1877980888"/>
        <c:scaling>
          <c:orientation val="minMax"/>
        </c:scaling>
        <c:delete val="0"/>
        <c:axPos val="b"/>
        <c:majorTickMark val="none"/>
        <c:minorTickMark val="none"/>
        <c:tickLblPos val="nextTo"/>
        <c:crossAx val="1877978520"/>
        <c:crosses val="autoZero"/>
        <c:auto val="1"/>
        <c:lblAlgn val="ctr"/>
        <c:lblOffset val="100"/>
        <c:noMultiLvlLbl val="0"/>
      </c:catAx>
      <c:valAx>
        <c:axId val="1877978520"/>
        <c:scaling>
          <c:orientation val="minMax"/>
        </c:scaling>
        <c:delete val="0"/>
        <c:axPos val="l"/>
        <c:numFmt formatCode="General" sourceLinked="1"/>
        <c:majorTickMark val="none"/>
        <c:minorTickMark val="none"/>
        <c:tickLblPos val="nextTo"/>
        <c:crossAx val="1877980888"/>
        <c:crosses val="autoZero"/>
        <c:crossBetween val="between"/>
      </c:valAx>
    </c:plotArea>
    <c:legend>
      <c:legendPos val="b"/>
      <c:layout>
        <c:manualLayout>
          <c:xMode val="edge"/>
          <c:yMode val="edge"/>
          <c:x val="0.258501411813319"/>
          <c:y val="0.858755979799295"/>
          <c:w val="0.580614482013278"/>
          <c:h val="0.0670669115484705"/>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4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756141260786"/>
          <c:y val="0.158354540481838"/>
          <c:w val="0.870287770914863"/>
          <c:h val="0.619230572173951"/>
        </c:manualLayout>
      </c:layout>
      <c:barChart>
        <c:barDir val="col"/>
        <c:grouping val="clustered"/>
        <c:varyColors val="0"/>
        <c:ser>
          <c:idx val="0"/>
          <c:order val="0"/>
          <c:tx>
            <c:strRef>
              <c:f>LAPOP2!$AL$3</c:f>
              <c:strCache>
                <c:ptCount val="1"/>
                <c:pt idx="0">
                  <c:v>Que el Congreso decida</c:v>
                </c:pt>
              </c:strCache>
            </c:strRef>
          </c:tx>
          <c:invertIfNegative val="0"/>
          <c:dLbls>
            <c:numFmt formatCode="#,##0.0" sourceLinked="0"/>
            <c:showLegendKey val="0"/>
            <c:showVal val="1"/>
            <c:showCatName val="0"/>
            <c:showSerName val="0"/>
            <c:showPercent val="0"/>
            <c:showBubbleSize val="0"/>
            <c:showLeaderLines val="0"/>
          </c:dLbls>
          <c:cat>
            <c:strRef>
              <c:f>LAPOP2!$AM$2:$AO$2</c:f>
              <c:strCache>
                <c:ptCount val="3"/>
                <c:pt idx="0">
                  <c:v>Liberal (28.0%)</c:v>
                </c:pt>
                <c:pt idx="1">
                  <c:v>Moderado (54.7%)</c:v>
                </c:pt>
                <c:pt idx="2">
                  <c:v>Conservador (17.3%)</c:v>
                </c:pt>
              </c:strCache>
            </c:strRef>
          </c:cat>
          <c:val>
            <c:numRef>
              <c:f>LAPOP2!$AM$3:$AO$3</c:f>
              <c:numCache>
                <c:formatCode>0.00</c:formatCode>
                <c:ptCount val="3"/>
                <c:pt idx="0">
                  <c:v>9.821428571428571</c:v>
                </c:pt>
                <c:pt idx="1">
                  <c:v>11.29770992366412</c:v>
                </c:pt>
                <c:pt idx="2">
                  <c:v>12.56038647342995</c:v>
                </c:pt>
              </c:numCache>
            </c:numRef>
          </c:val>
        </c:ser>
        <c:ser>
          <c:idx val="1"/>
          <c:order val="1"/>
          <c:tx>
            <c:strRef>
              <c:f>LAPOP2!$AL$4</c:f>
              <c:strCache>
                <c:ptCount val="1"/>
                <c:pt idx="0">
                  <c:v>Que la ciudadanía decida </c:v>
                </c:pt>
              </c:strCache>
            </c:strRef>
          </c:tx>
          <c:invertIfNegative val="0"/>
          <c:dLbls>
            <c:numFmt formatCode="#,##0.0" sourceLinked="0"/>
            <c:showLegendKey val="0"/>
            <c:showVal val="1"/>
            <c:showCatName val="0"/>
            <c:showSerName val="0"/>
            <c:showPercent val="0"/>
            <c:showBubbleSize val="0"/>
            <c:showLeaderLines val="0"/>
          </c:dLbls>
          <c:cat>
            <c:strRef>
              <c:f>LAPOP2!$AM$2:$AO$2</c:f>
              <c:strCache>
                <c:ptCount val="3"/>
                <c:pt idx="0">
                  <c:v>Liberal (28.0%)</c:v>
                </c:pt>
                <c:pt idx="1">
                  <c:v>Moderado (54.7%)</c:v>
                </c:pt>
                <c:pt idx="2">
                  <c:v>Conservador (17.3%)</c:v>
                </c:pt>
              </c:strCache>
            </c:strRef>
          </c:cat>
          <c:val>
            <c:numRef>
              <c:f>LAPOP2!$AM$4:$AO$4</c:f>
              <c:numCache>
                <c:formatCode>0.00</c:formatCode>
                <c:ptCount val="3"/>
                <c:pt idx="0">
                  <c:v>90.17857142857143</c:v>
                </c:pt>
                <c:pt idx="1">
                  <c:v>88.70229007633588</c:v>
                </c:pt>
                <c:pt idx="2">
                  <c:v>87.43961352657004</c:v>
                </c:pt>
              </c:numCache>
            </c:numRef>
          </c:val>
        </c:ser>
        <c:dLbls>
          <c:showLegendKey val="0"/>
          <c:showVal val="1"/>
          <c:showCatName val="0"/>
          <c:showSerName val="0"/>
          <c:showPercent val="0"/>
          <c:showBubbleSize val="0"/>
        </c:dLbls>
        <c:gapWidth val="75"/>
        <c:axId val="1877922296"/>
        <c:axId val="1877917528"/>
      </c:barChart>
      <c:catAx>
        <c:axId val="1877922296"/>
        <c:scaling>
          <c:orientation val="minMax"/>
        </c:scaling>
        <c:delete val="0"/>
        <c:axPos val="b"/>
        <c:majorTickMark val="none"/>
        <c:minorTickMark val="none"/>
        <c:tickLblPos val="nextTo"/>
        <c:crossAx val="1877917528"/>
        <c:crosses val="autoZero"/>
        <c:auto val="1"/>
        <c:lblAlgn val="ctr"/>
        <c:lblOffset val="100"/>
        <c:noMultiLvlLbl val="0"/>
      </c:catAx>
      <c:valAx>
        <c:axId val="1877917528"/>
        <c:scaling>
          <c:orientation val="minMax"/>
          <c:max val="100.0"/>
        </c:scaling>
        <c:delete val="0"/>
        <c:axPos val="l"/>
        <c:numFmt formatCode="General" sourceLinked="0"/>
        <c:majorTickMark val="none"/>
        <c:minorTickMark val="none"/>
        <c:tickLblPos val="nextTo"/>
        <c:crossAx val="1877922296"/>
        <c:crosses val="autoZero"/>
        <c:crossBetween val="between"/>
      </c:valAx>
    </c:plotArea>
    <c:legend>
      <c:legendPos val="b"/>
      <c:layout>
        <c:manualLayout>
          <c:xMode val="edge"/>
          <c:yMode val="edge"/>
          <c:x val="0.263970012730445"/>
          <c:y val="0.875569690693011"/>
          <c:w val="0.531940214060069"/>
          <c:h val="0.0680128282394222"/>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4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5909163528472"/>
          <c:y val="0.157236711334675"/>
          <c:w val="0.858583590094716"/>
          <c:h val="0.605154323505452"/>
        </c:manualLayout>
      </c:layout>
      <c:barChart>
        <c:barDir val="col"/>
        <c:grouping val="clustered"/>
        <c:varyColors val="0"/>
        <c:ser>
          <c:idx val="0"/>
          <c:order val="0"/>
          <c:tx>
            <c:strRef>
              <c:f>[1]LAPOP4!$AV$12</c:f>
              <c:strCache>
                <c:ptCount val="1"/>
                <c:pt idx="0">
                  <c:v>Que el Congreso decida</c:v>
                </c:pt>
              </c:strCache>
            </c:strRef>
          </c:tx>
          <c:invertIfNegative val="0"/>
          <c:dLbls>
            <c:numFmt formatCode="#,##0.0" sourceLinked="0"/>
            <c:showLegendKey val="0"/>
            <c:showVal val="1"/>
            <c:showCatName val="0"/>
            <c:showSerName val="0"/>
            <c:showPercent val="0"/>
            <c:showBubbleSize val="0"/>
            <c:showLeaderLines val="0"/>
          </c:dLbls>
          <c:cat>
            <c:strRef>
              <c:f>[1]LAPOP4!$AW$11:$AX$11</c:f>
              <c:strCache>
                <c:ptCount val="2"/>
                <c:pt idx="0">
                  <c:v>$Satisfecho con la Democracia (48.2%)</c:v>
                </c:pt>
                <c:pt idx="1">
                  <c:v>&amp;Insatisfecho con la Democracia (51.8%)</c:v>
                </c:pt>
              </c:strCache>
            </c:strRef>
          </c:cat>
          <c:val>
            <c:numRef>
              <c:f>[1]LAPOP4!$AW$12:$AX$12</c:f>
              <c:numCache>
                <c:formatCode>General</c:formatCode>
                <c:ptCount val="2"/>
                <c:pt idx="0">
                  <c:v>12.37785016286645</c:v>
                </c:pt>
                <c:pt idx="1">
                  <c:v>10.3030303030303</c:v>
                </c:pt>
              </c:numCache>
            </c:numRef>
          </c:val>
        </c:ser>
        <c:ser>
          <c:idx val="1"/>
          <c:order val="1"/>
          <c:tx>
            <c:strRef>
              <c:f>[1]LAPOP4!$AV$13</c:f>
              <c:strCache>
                <c:ptCount val="1"/>
                <c:pt idx="0">
                  <c:v>Que la ciudadanía decida</c:v>
                </c:pt>
              </c:strCache>
            </c:strRef>
          </c:tx>
          <c:invertIfNegative val="0"/>
          <c:dLbls>
            <c:numFmt formatCode="#,##0.0" sourceLinked="0"/>
            <c:showLegendKey val="0"/>
            <c:showVal val="1"/>
            <c:showCatName val="0"/>
            <c:showSerName val="0"/>
            <c:showPercent val="0"/>
            <c:showBubbleSize val="0"/>
            <c:showLeaderLines val="0"/>
          </c:dLbls>
          <c:cat>
            <c:strRef>
              <c:f>[1]LAPOP4!$AW$11:$AX$11</c:f>
              <c:strCache>
                <c:ptCount val="2"/>
                <c:pt idx="0">
                  <c:v>$Satisfecho con la Democracia (48.2%)</c:v>
                </c:pt>
                <c:pt idx="1">
                  <c:v>&amp;Insatisfecho con la Democracia (51.8%)</c:v>
                </c:pt>
              </c:strCache>
            </c:strRef>
          </c:cat>
          <c:val>
            <c:numRef>
              <c:f>[1]LAPOP4!$AW$13:$AX$13</c:f>
              <c:numCache>
                <c:formatCode>General</c:formatCode>
                <c:ptCount val="2"/>
                <c:pt idx="0">
                  <c:v>87.62214983713355</c:v>
                </c:pt>
                <c:pt idx="1">
                  <c:v>89.6969696969697</c:v>
                </c:pt>
              </c:numCache>
            </c:numRef>
          </c:val>
        </c:ser>
        <c:dLbls>
          <c:showLegendKey val="0"/>
          <c:showVal val="1"/>
          <c:showCatName val="0"/>
          <c:showSerName val="0"/>
          <c:showPercent val="0"/>
          <c:showBubbleSize val="0"/>
        </c:dLbls>
        <c:gapWidth val="75"/>
        <c:axId val="1877842744"/>
        <c:axId val="1877839848"/>
      </c:barChart>
      <c:catAx>
        <c:axId val="1877842744"/>
        <c:scaling>
          <c:orientation val="minMax"/>
        </c:scaling>
        <c:delete val="0"/>
        <c:axPos val="b"/>
        <c:majorTickMark val="none"/>
        <c:minorTickMark val="none"/>
        <c:tickLblPos val="nextTo"/>
        <c:crossAx val="1877839848"/>
        <c:crosses val="autoZero"/>
        <c:auto val="1"/>
        <c:lblAlgn val="ctr"/>
        <c:lblOffset val="100"/>
        <c:noMultiLvlLbl val="0"/>
      </c:catAx>
      <c:valAx>
        <c:axId val="1877839848"/>
        <c:scaling>
          <c:orientation val="minMax"/>
        </c:scaling>
        <c:delete val="0"/>
        <c:axPos val="l"/>
        <c:numFmt formatCode="General" sourceLinked="1"/>
        <c:majorTickMark val="none"/>
        <c:minorTickMark val="none"/>
        <c:tickLblPos val="nextTo"/>
        <c:crossAx val="1877842744"/>
        <c:crosses val="autoZero"/>
        <c:crossBetween val="between"/>
      </c:valAx>
    </c:plotArea>
    <c:legend>
      <c:legendPos val="b"/>
      <c:layout>
        <c:manualLayout>
          <c:xMode val="edge"/>
          <c:yMode val="edge"/>
          <c:x val="0.19415652173913"/>
          <c:y val="0.868370603908556"/>
          <c:w val="0.611686956521739"/>
          <c:h val="0.0659659308298874"/>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4265494420559"/>
          <c:y val="0.170334554833387"/>
          <c:w val="0.856879699853469"/>
          <c:h val="0.60885613155511"/>
        </c:manualLayout>
      </c:layout>
      <c:barChart>
        <c:barDir val="col"/>
        <c:grouping val="clustered"/>
        <c:varyColors val="0"/>
        <c:ser>
          <c:idx val="0"/>
          <c:order val="0"/>
          <c:tx>
            <c:strRef>
              <c:f>[1]LAPOP3!$EO$12</c:f>
              <c:strCache>
                <c:ptCount val="1"/>
                <c:pt idx="0">
                  <c:v>Que el Congreso decida</c:v>
                </c:pt>
              </c:strCache>
            </c:strRef>
          </c:tx>
          <c:invertIfNegative val="0"/>
          <c:dLbls>
            <c:numFmt formatCode="#,##0.0" sourceLinked="0"/>
            <c:showLegendKey val="0"/>
            <c:showVal val="1"/>
            <c:showCatName val="0"/>
            <c:showSerName val="0"/>
            <c:showPercent val="0"/>
            <c:showBubbleSize val="0"/>
            <c:showLeaderLines val="0"/>
          </c:dLbls>
          <c:cat>
            <c:strRef>
              <c:f>[1]LAPOP3!$EP$11:$ER$11</c:f>
              <c:strCache>
                <c:ptCount val="3"/>
                <c:pt idx="0">
                  <c:v>_x0014_Poco Respeto (19.9%)</c:v>
                </c:pt>
                <c:pt idx="1">
                  <c:v>_x0015_Respeto Medio (23.3%)</c:v>
                </c:pt>
                <c:pt idx="2">
                  <c:v>_x0015_Mucho Respeto (56.9%)</c:v>
                </c:pt>
              </c:strCache>
            </c:strRef>
          </c:cat>
          <c:val>
            <c:numRef>
              <c:f>[1]LAPOP3!$EP$12:$ER$12</c:f>
              <c:numCache>
                <c:formatCode>General</c:formatCode>
                <c:ptCount val="3"/>
                <c:pt idx="0">
                  <c:v>6.934306569343065</c:v>
                </c:pt>
                <c:pt idx="1">
                  <c:v>13.08411214953271</c:v>
                </c:pt>
                <c:pt idx="2">
                  <c:v>10.58673469387755</c:v>
                </c:pt>
              </c:numCache>
            </c:numRef>
          </c:val>
        </c:ser>
        <c:ser>
          <c:idx val="1"/>
          <c:order val="1"/>
          <c:tx>
            <c:strRef>
              <c:f>[1]LAPOP3!$EO$13</c:f>
              <c:strCache>
                <c:ptCount val="1"/>
                <c:pt idx="0">
                  <c:v>Que la ciudadanía decida </c:v>
                </c:pt>
              </c:strCache>
            </c:strRef>
          </c:tx>
          <c:invertIfNegative val="0"/>
          <c:dLbls>
            <c:numFmt formatCode="#,##0.0" sourceLinked="0"/>
            <c:showLegendKey val="0"/>
            <c:showVal val="1"/>
            <c:showCatName val="0"/>
            <c:showSerName val="0"/>
            <c:showPercent val="0"/>
            <c:showBubbleSize val="0"/>
            <c:showLeaderLines val="0"/>
          </c:dLbls>
          <c:cat>
            <c:strRef>
              <c:f>[1]LAPOP3!$EP$11:$ER$11</c:f>
              <c:strCache>
                <c:ptCount val="3"/>
                <c:pt idx="0">
                  <c:v>_x0014_Poco Respeto (19.9%)</c:v>
                </c:pt>
                <c:pt idx="1">
                  <c:v>_x0015_Respeto Medio (23.3%)</c:v>
                </c:pt>
                <c:pt idx="2">
                  <c:v>_x0015_Mucho Respeto (56.9%)</c:v>
                </c:pt>
              </c:strCache>
            </c:strRef>
          </c:cat>
          <c:val>
            <c:numRef>
              <c:f>[1]LAPOP3!$EP$13:$ER$13</c:f>
              <c:numCache>
                <c:formatCode>General</c:formatCode>
                <c:ptCount val="3"/>
                <c:pt idx="0">
                  <c:v>93.06569343065694</c:v>
                </c:pt>
                <c:pt idx="1">
                  <c:v>86.91588785046729</c:v>
                </c:pt>
                <c:pt idx="2">
                  <c:v>89.41326530612245</c:v>
                </c:pt>
              </c:numCache>
            </c:numRef>
          </c:val>
        </c:ser>
        <c:dLbls>
          <c:showLegendKey val="0"/>
          <c:showVal val="1"/>
          <c:showCatName val="0"/>
          <c:showSerName val="0"/>
          <c:showPercent val="0"/>
          <c:showBubbleSize val="0"/>
        </c:dLbls>
        <c:gapWidth val="75"/>
        <c:axId val="1877782648"/>
        <c:axId val="1877776888"/>
      </c:barChart>
      <c:catAx>
        <c:axId val="1877782648"/>
        <c:scaling>
          <c:orientation val="minMax"/>
        </c:scaling>
        <c:delete val="0"/>
        <c:axPos val="b"/>
        <c:majorTickMark val="none"/>
        <c:minorTickMark val="none"/>
        <c:tickLblPos val="nextTo"/>
        <c:crossAx val="1877776888"/>
        <c:crosses val="autoZero"/>
        <c:auto val="1"/>
        <c:lblAlgn val="ctr"/>
        <c:lblOffset val="100"/>
        <c:noMultiLvlLbl val="0"/>
      </c:catAx>
      <c:valAx>
        <c:axId val="1877776888"/>
        <c:scaling>
          <c:orientation val="minMax"/>
        </c:scaling>
        <c:delete val="0"/>
        <c:axPos val="l"/>
        <c:numFmt formatCode="General" sourceLinked="1"/>
        <c:majorTickMark val="none"/>
        <c:minorTickMark val="none"/>
        <c:tickLblPos val="nextTo"/>
        <c:crossAx val="1877782648"/>
        <c:crosses val="autoZero"/>
        <c:crossBetween val="between"/>
      </c:valAx>
    </c:plotArea>
    <c:legend>
      <c:legendPos val="b"/>
      <c:layout>
        <c:manualLayout>
          <c:xMode val="edge"/>
          <c:yMode val="edge"/>
          <c:x val="0.241817947603175"/>
          <c:y val="0.858062470530547"/>
          <c:w val="0.544993961644365"/>
          <c:h val="0.0663288795028099"/>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5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079818377858"/>
          <c:y val="0.152774704814791"/>
          <c:w val="0.866915817192245"/>
          <c:h val="0.595765240088791"/>
        </c:manualLayout>
      </c:layout>
      <c:barChart>
        <c:barDir val="col"/>
        <c:grouping val="clustered"/>
        <c:varyColors val="0"/>
        <c:ser>
          <c:idx val="0"/>
          <c:order val="0"/>
          <c:tx>
            <c:strRef>
              <c:f>[1]LAPOP3!$FA$12</c:f>
              <c:strCache>
                <c:ptCount val="1"/>
                <c:pt idx="0">
                  <c:v>Que el Congreso decida</c:v>
                </c:pt>
              </c:strCache>
            </c:strRef>
          </c:tx>
          <c:invertIfNegative val="0"/>
          <c:dLbls>
            <c:numFmt formatCode="#,##0.0" sourceLinked="0"/>
            <c:showLegendKey val="0"/>
            <c:showVal val="1"/>
            <c:showCatName val="0"/>
            <c:showSerName val="0"/>
            <c:showPercent val="0"/>
            <c:showBubbleSize val="0"/>
            <c:showLeaderLines val="0"/>
          </c:dLbls>
          <c:cat>
            <c:strRef>
              <c:f>[1]LAPOP3!$FB$11:$FD$11</c:f>
              <c:strCache>
                <c:ptCount val="3"/>
                <c:pt idx="0">
                  <c:v>_x0012_Bajo Apoyo (23.7%)</c:v>
                </c:pt>
                <c:pt idx="1">
                  <c:v>_x0013_Apoyo Medio (25.9%)</c:v>
                </c:pt>
                <c:pt idx="2">
                  <c:v>_x0012_Alto Apoyo (50.4%)</c:v>
                </c:pt>
              </c:strCache>
            </c:strRef>
          </c:cat>
          <c:val>
            <c:numRef>
              <c:f>[1]LAPOP3!$FB$12:$FD$12</c:f>
              <c:numCache>
                <c:formatCode>General</c:formatCode>
                <c:ptCount val="3"/>
                <c:pt idx="0">
                  <c:v>9.538461538461538</c:v>
                </c:pt>
                <c:pt idx="1">
                  <c:v>10.98591549295775</c:v>
                </c:pt>
                <c:pt idx="2">
                  <c:v>10.85383502170767</c:v>
                </c:pt>
              </c:numCache>
            </c:numRef>
          </c:val>
        </c:ser>
        <c:ser>
          <c:idx val="1"/>
          <c:order val="1"/>
          <c:tx>
            <c:strRef>
              <c:f>[1]LAPOP3!$FA$13</c:f>
              <c:strCache>
                <c:ptCount val="1"/>
                <c:pt idx="0">
                  <c:v>Que la ciudadanía decida </c:v>
                </c:pt>
              </c:strCache>
            </c:strRef>
          </c:tx>
          <c:invertIfNegative val="0"/>
          <c:dLbls>
            <c:numFmt formatCode="#,##0.0" sourceLinked="0"/>
            <c:showLegendKey val="0"/>
            <c:showVal val="1"/>
            <c:showCatName val="0"/>
            <c:showSerName val="0"/>
            <c:showPercent val="0"/>
            <c:showBubbleSize val="0"/>
            <c:showLeaderLines val="0"/>
          </c:dLbls>
          <c:cat>
            <c:strRef>
              <c:f>[1]LAPOP3!$FB$11:$FD$11</c:f>
              <c:strCache>
                <c:ptCount val="3"/>
                <c:pt idx="0">
                  <c:v>_x0012_Bajo Apoyo (23.7%)</c:v>
                </c:pt>
                <c:pt idx="1">
                  <c:v>_x0013_Apoyo Medio (25.9%)</c:v>
                </c:pt>
                <c:pt idx="2">
                  <c:v>_x0012_Alto Apoyo (50.4%)</c:v>
                </c:pt>
              </c:strCache>
            </c:strRef>
          </c:cat>
          <c:val>
            <c:numRef>
              <c:f>[1]LAPOP3!$FB$13:$FD$13</c:f>
              <c:numCache>
                <c:formatCode>General</c:formatCode>
                <c:ptCount val="3"/>
                <c:pt idx="0">
                  <c:v>90.46153846153845</c:v>
                </c:pt>
                <c:pt idx="1">
                  <c:v>89.01408450704225</c:v>
                </c:pt>
                <c:pt idx="2">
                  <c:v>89.14616497829233</c:v>
                </c:pt>
              </c:numCache>
            </c:numRef>
          </c:val>
        </c:ser>
        <c:dLbls>
          <c:showLegendKey val="0"/>
          <c:showVal val="1"/>
          <c:showCatName val="0"/>
          <c:showSerName val="0"/>
          <c:showPercent val="0"/>
          <c:showBubbleSize val="0"/>
        </c:dLbls>
        <c:gapWidth val="75"/>
        <c:axId val="1877721880"/>
        <c:axId val="1877713272"/>
      </c:barChart>
      <c:catAx>
        <c:axId val="1877721880"/>
        <c:scaling>
          <c:orientation val="minMax"/>
        </c:scaling>
        <c:delete val="0"/>
        <c:axPos val="b"/>
        <c:majorTickMark val="none"/>
        <c:minorTickMark val="none"/>
        <c:tickLblPos val="nextTo"/>
        <c:crossAx val="1877713272"/>
        <c:crosses val="autoZero"/>
        <c:auto val="1"/>
        <c:lblAlgn val="ctr"/>
        <c:lblOffset val="100"/>
        <c:noMultiLvlLbl val="0"/>
      </c:catAx>
      <c:valAx>
        <c:axId val="1877713272"/>
        <c:scaling>
          <c:orientation val="minMax"/>
        </c:scaling>
        <c:delete val="0"/>
        <c:axPos val="l"/>
        <c:numFmt formatCode="General" sourceLinked="1"/>
        <c:majorTickMark val="none"/>
        <c:minorTickMark val="none"/>
        <c:tickLblPos val="nextTo"/>
        <c:crossAx val="1877721880"/>
        <c:crosses val="autoZero"/>
        <c:crossBetween val="between"/>
      </c:valAx>
    </c:plotArea>
    <c:legend>
      <c:legendPos val="b"/>
      <c:layout>
        <c:manualLayout>
          <c:xMode val="edge"/>
          <c:yMode val="edge"/>
          <c:x val="0.241950762701307"/>
          <c:y val="0.855243053296024"/>
          <c:w val="0.581564751214609"/>
          <c:h val="0.0664202511876098"/>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5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5622454879352"/>
          <c:y val="0.136846525762585"/>
          <c:w val="0.871134016330368"/>
          <c:h val="0.63766870502845"/>
        </c:manualLayout>
      </c:layout>
      <c:barChart>
        <c:barDir val="col"/>
        <c:grouping val="clustered"/>
        <c:varyColors val="0"/>
        <c:ser>
          <c:idx val="0"/>
          <c:order val="0"/>
          <c:tx>
            <c:strRef>
              <c:f>LAPOP2!$BL$3</c:f>
              <c:strCache>
                <c:ptCount val="1"/>
                <c:pt idx="0">
                  <c:v>Que el Congreso decida</c:v>
                </c:pt>
              </c:strCache>
            </c:strRef>
          </c:tx>
          <c:invertIfNegative val="0"/>
          <c:dLbls>
            <c:numFmt formatCode="#,##0.0" sourceLinked="0"/>
            <c:showLegendKey val="0"/>
            <c:showVal val="1"/>
            <c:showCatName val="0"/>
            <c:showSerName val="0"/>
            <c:showPercent val="0"/>
            <c:showBubbleSize val="0"/>
            <c:showLeaderLines val="0"/>
          </c:dLbls>
          <c:cat>
            <c:strRef>
              <c:f>LAPOP2!$BM$2:$BO$2</c:f>
              <c:strCache>
                <c:ptCount val="3"/>
                <c:pt idx="0">
                  <c:v>Baja Confianza (33.0%)</c:v>
                </c:pt>
                <c:pt idx="1">
                  <c:v>Confianza Media (50.0%)</c:v>
                </c:pt>
                <c:pt idx="2">
                  <c:v>Alta Confianza (17.0%)</c:v>
                </c:pt>
              </c:strCache>
            </c:strRef>
          </c:cat>
          <c:val>
            <c:numRef>
              <c:f>LAPOP2!$BM$3:$BO$3</c:f>
              <c:numCache>
                <c:formatCode>0.00</c:formatCode>
                <c:ptCount val="3"/>
                <c:pt idx="0">
                  <c:v>6.981981981981982</c:v>
                </c:pt>
                <c:pt idx="1">
                  <c:v>11.2927191679049</c:v>
                </c:pt>
                <c:pt idx="2">
                  <c:v>15.21739130434783</c:v>
                </c:pt>
              </c:numCache>
            </c:numRef>
          </c:val>
        </c:ser>
        <c:ser>
          <c:idx val="1"/>
          <c:order val="1"/>
          <c:tx>
            <c:strRef>
              <c:f>LAPOP2!$BL$4</c:f>
              <c:strCache>
                <c:ptCount val="1"/>
                <c:pt idx="0">
                  <c:v>Que la ciudadanía decida </c:v>
                </c:pt>
              </c:strCache>
            </c:strRef>
          </c:tx>
          <c:invertIfNegative val="0"/>
          <c:dLbls>
            <c:numFmt formatCode="#,##0.0" sourceLinked="0"/>
            <c:showLegendKey val="0"/>
            <c:showVal val="1"/>
            <c:showCatName val="0"/>
            <c:showSerName val="0"/>
            <c:showPercent val="0"/>
            <c:showBubbleSize val="0"/>
            <c:showLeaderLines val="0"/>
          </c:dLbls>
          <c:cat>
            <c:strRef>
              <c:f>LAPOP2!$BM$2:$BO$2</c:f>
              <c:strCache>
                <c:ptCount val="3"/>
                <c:pt idx="0">
                  <c:v>Baja Confianza (33.0%)</c:v>
                </c:pt>
                <c:pt idx="1">
                  <c:v>Confianza Media (50.0%)</c:v>
                </c:pt>
                <c:pt idx="2">
                  <c:v>Alta Confianza (17.0%)</c:v>
                </c:pt>
              </c:strCache>
            </c:strRef>
          </c:cat>
          <c:val>
            <c:numRef>
              <c:f>LAPOP2!$BM$4:$BO$4</c:f>
              <c:numCache>
                <c:formatCode>0.00</c:formatCode>
                <c:ptCount val="3"/>
                <c:pt idx="0">
                  <c:v>93.01801801801801</c:v>
                </c:pt>
                <c:pt idx="1">
                  <c:v>88.70728083209509</c:v>
                </c:pt>
                <c:pt idx="2">
                  <c:v>84.78260869565217</c:v>
                </c:pt>
              </c:numCache>
            </c:numRef>
          </c:val>
        </c:ser>
        <c:dLbls>
          <c:showLegendKey val="0"/>
          <c:showVal val="1"/>
          <c:showCatName val="0"/>
          <c:showSerName val="0"/>
          <c:showPercent val="0"/>
          <c:showBubbleSize val="0"/>
        </c:dLbls>
        <c:gapWidth val="75"/>
        <c:axId val="1877586328"/>
        <c:axId val="1877574664"/>
      </c:barChart>
      <c:catAx>
        <c:axId val="1877586328"/>
        <c:scaling>
          <c:orientation val="minMax"/>
        </c:scaling>
        <c:delete val="0"/>
        <c:axPos val="b"/>
        <c:majorTickMark val="none"/>
        <c:minorTickMark val="none"/>
        <c:tickLblPos val="nextTo"/>
        <c:crossAx val="1877574664"/>
        <c:crosses val="autoZero"/>
        <c:auto val="1"/>
        <c:lblAlgn val="ctr"/>
        <c:lblOffset val="100"/>
        <c:noMultiLvlLbl val="0"/>
      </c:catAx>
      <c:valAx>
        <c:axId val="1877574664"/>
        <c:scaling>
          <c:orientation val="minMax"/>
        </c:scaling>
        <c:delete val="0"/>
        <c:axPos val="l"/>
        <c:numFmt formatCode="General" sourceLinked="0"/>
        <c:majorTickMark val="none"/>
        <c:minorTickMark val="none"/>
        <c:tickLblPos val="nextTo"/>
        <c:crossAx val="1877586328"/>
        <c:crosses val="autoZero"/>
        <c:crossBetween val="between"/>
      </c:valAx>
    </c:plotArea>
    <c:legend>
      <c:legendPos val="b"/>
      <c:layout>
        <c:manualLayout>
          <c:xMode val="edge"/>
          <c:yMode val="edge"/>
          <c:x val="0.277599444284995"/>
          <c:y val="0.874290794147919"/>
          <c:w val="0.574048469668126"/>
          <c:h val="0.0666958442047253"/>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5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2496447498203"/>
          <c:y val="0.16000911885884"/>
          <c:w val="0.864148987745958"/>
          <c:h val="0.589162556228678"/>
        </c:manualLayout>
      </c:layout>
      <c:barChart>
        <c:barDir val="col"/>
        <c:grouping val="clustered"/>
        <c:varyColors val="0"/>
        <c:ser>
          <c:idx val="0"/>
          <c:order val="0"/>
          <c:tx>
            <c:strRef>
              <c:f>[1]LAPOP4!$AF$11</c:f>
              <c:strCache>
                <c:ptCount val="1"/>
                <c:pt idx="0">
                  <c:v>Que el Congreso decida</c:v>
                </c:pt>
              </c:strCache>
            </c:strRef>
          </c:tx>
          <c:invertIfNegative val="0"/>
          <c:cat>
            <c:strRef>
              <c:f>[1]LAPOP4!$AG$10:$AH$10</c:f>
              <c:strCache>
                <c:ptCount val="2"/>
                <c:pt idx="0">
                  <c:v>#Simpatiza con algún Partido (15.1%)</c:v>
                </c:pt>
                <c:pt idx="1">
                  <c:v>&amp;No Simpatiza con algún Partido (84.9%)</c:v>
                </c:pt>
              </c:strCache>
            </c:strRef>
          </c:cat>
          <c:val>
            <c:numRef>
              <c:f>[1]LAPOP4!$AG$11:$AH$11</c:f>
              <c:numCache>
                <c:formatCode>General</c:formatCode>
                <c:ptCount val="2"/>
                <c:pt idx="0">
                  <c:v>16.3265306122449</c:v>
                </c:pt>
                <c:pt idx="1">
                  <c:v>9.51086956521739</c:v>
                </c:pt>
              </c:numCache>
            </c:numRef>
          </c:val>
        </c:ser>
        <c:ser>
          <c:idx val="1"/>
          <c:order val="1"/>
          <c:tx>
            <c:strRef>
              <c:f>[1]LAPOP4!$AF$12</c:f>
              <c:strCache>
                <c:ptCount val="1"/>
                <c:pt idx="0">
                  <c:v>Que la ciudadanía decida</c:v>
                </c:pt>
              </c:strCache>
            </c:strRef>
          </c:tx>
          <c:invertIfNegative val="0"/>
          <c:cat>
            <c:strRef>
              <c:f>[1]LAPOP4!$AG$10:$AH$10</c:f>
              <c:strCache>
                <c:ptCount val="2"/>
                <c:pt idx="0">
                  <c:v>#Simpatiza con algún Partido (15.1%)</c:v>
                </c:pt>
                <c:pt idx="1">
                  <c:v>&amp;No Simpatiza con algún Partido (84.9%)</c:v>
                </c:pt>
              </c:strCache>
            </c:strRef>
          </c:cat>
          <c:val>
            <c:numRef>
              <c:f>[1]LAPOP4!$AG$12:$AH$12</c:f>
              <c:numCache>
                <c:formatCode>General</c:formatCode>
                <c:ptCount val="2"/>
                <c:pt idx="0">
                  <c:v>83.67346938775511</c:v>
                </c:pt>
                <c:pt idx="1">
                  <c:v>90.48913043478261</c:v>
                </c:pt>
              </c:numCache>
            </c:numRef>
          </c:val>
        </c:ser>
        <c:dLbls>
          <c:showLegendKey val="0"/>
          <c:showVal val="1"/>
          <c:showCatName val="0"/>
          <c:showSerName val="0"/>
          <c:showPercent val="0"/>
          <c:showBubbleSize val="0"/>
        </c:dLbls>
        <c:gapWidth val="75"/>
        <c:axId val="1877189048"/>
        <c:axId val="1877184760"/>
      </c:barChart>
      <c:catAx>
        <c:axId val="1877189048"/>
        <c:scaling>
          <c:orientation val="minMax"/>
        </c:scaling>
        <c:delete val="0"/>
        <c:axPos val="b"/>
        <c:majorTickMark val="none"/>
        <c:minorTickMark val="none"/>
        <c:tickLblPos val="nextTo"/>
        <c:crossAx val="1877184760"/>
        <c:crosses val="autoZero"/>
        <c:auto val="1"/>
        <c:lblAlgn val="ctr"/>
        <c:lblOffset val="100"/>
        <c:noMultiLvlLbl val="0"/>
      </c:catAx>
      <c:valAx>
        <c:axId val="1877184760"/>
        <c:scaling>
          <c:orientation val="minMax"/>
        </c:scaling>
        <c:delete val="0"/>
        <c:axPos val="l"/>
        <c:numFmt formatCode="General" sourceLinked="1"/>
        <c:majorTickMark val="none"/>
        <c:minorTickMark val="none"/>
        <c:tickLblPos val="nextTo"/>
        <c:crossAx val="1877189048"/>
        <c:crosses val="autoZero"/>
        <c:crossBetween val="between"/>
      </c:valAx>
    </c:plotArea>
    <c:legend>
      <c:legendPos val="b"/>
      <c:layout>
        <c:manualLayout>
          <c:xMode val="edge"/>
          <c:yMode val="edge"/>
          <c:x val="0.247568918534865"/>
          <c:y val="0.869086954261153"/>
          <c:w val="0.560063694267516"/>
          <c:h val="0.0656069326181467"/>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5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0214928282171"/>
          <c:y val="0.165119842570015"/>
          <c:w val="0.86690415648122"/>
          <c:h val="0.599034650430817"/>
        </c:manualLayout>
      </c:layout>
      <c:barChart>
        <c:barDir val="col"/>
        <c:grouping val="clustered"/>
        <c:varyColors val="0"/>
        <c:ser>
          <c:idx val="0"/>
          <c:order val="0"/>
          <c:tx>
            <c:strRef>
              <c:f>[1]LAPOP3!$FV$13</c:f>
              <c:strCache>
                <c:ptCount val="1"/>
                <c:pt idx="0">
                  <c:v>Que el Congreso decida</c:v>
                </c:pt>
              </c:strCache>
            </c:strRef>
          </c:tx>
          <c:invertIfNegative val="0"/>
          <c:dLbls>
            <c:numFmt formatCode="#,##0.0" sourceLinked="0"/>
            <c:showLegendKey val="0"/>
            <c:showVal val="1"/>
            <c:showCatName val="0"/>
            <c:showSerName val="0"/>
            <c:showPercent val="0"/>
            <c:showBubbleSize val="0"/>
            <c:showLeaderLines val="0"/>
          </c:dLbls>
          <c:cat>
            <c:strRef>
              <c:f>[1]LAPOP3!$FW$12:$FZ$12</c:f>
              <c:strCache>
                <c:ptCount val="4"/>
                <c:pt idx="0">
                  <c:v>_x000c_Nada (35.1%)</c:v>
                </c:pt>
                <c:pt idx="1">
                  <c:v>_x000c_Poco (36.6%)</c:v>
                </c:pt>
                <c:pt idx="2">
                  <c:v>_x000c_Algo (23.8%)</c:v>
                </c:pt>
                <c:pt idx="3">
                  <c:v>_x000c_Mucho (4.5%)</c:v>
                </c:pt>
              </c:strCache>
            </c:strRef>
          </c:cat>
          <c:val>
            <c:numRef>
              <c:f>[1]LAPOP3!$FW$13:$FZ$13</c:f>
              <c:numCache>
                <c:formatCode>General</c:formatCode>
                <c:ptCount val="4"/>
                <c:pt idx="0">
                  <c:v>9.690721649484537</c:v>
                </c:pt>
                <c:pt idx="1">
                  <c:v>11.6600790513834</c:v>
                </c:pt>
                <c:pt idx="2">
                  <c:v>10.67073170731707</c:v>
                </c:pt>
                <c:pt idx="3">
                  <c:v>6.451612903225806</c:v>
                </c:pt>
              </c:numCache>
            </c:numRef>
          </c:val>
        </c:ser>
        <c:ser>
          <c:idx val="1"/>
          <c:order val="1"/>
          <c:tx>
            <c:strRef>
              <c:f>[1]LAPOP3!$FV$14</c:f>
              <c:strCache>
                <c:ptCount val="1"/>
                <c:pt idx="0">
                  <c:v>Que la ciudadanía decida </c:v>
                </c:pt>
              </c:strCache>
            </c:strRef>
          </c:tx>
          <c:invertIfNegative val="0"/>
          <c:dLbls>
            <c:numFmt formatCode="#,##0.0" sourceLinked="0"/>
            <c:showLegendKey val="0"/>
            <c:showVal val="1"/>
            <c:showCatName val="0"/>
            <c:showSerName val="0"/>
            <c:showPercent val="0"/>
            <c:showBubbleSize val="0"/>
            <c:showLeaderLines val="0"/>
          </c:dLbls>
          <c:cat>
            <c:strRef>
              <c:f>[1]LAPOP3!$FW$12:$FZ$12</c:f>
              <c:strCache>
                <c:ptCount val="4"/>
                <c:pt idx="0">
                  <c:v>_x000c_Nada (35.1%)</c:v>
                </c:pt>
                <c:pt idx="1">
                  <c:v>_x000c_Poco (36.6%)</c:v>
                </c:pt>
                <c:pt idx="2">
                  <c:v>_x000c_Algo (23.8%)</c:v>
                </c:pt>
                <c:pt idx="3">
                  <c:v>_x000c_Mucho (4.5%)</c:v>
                </c:pt>
              </c:strCache>
            </c:strRef>
          </c:cat>
          <c:val>
            <c:numRef>
              <c:f>[1]LAPOP3!$FW$14:$FZ$14</c:f>
              <c:numCache>
                <c:formatCode>General</c:formatCode>
                <c:ptCount val="4"/>
                <c:pt idx="0">
                  <c:v>90.30927835051547</c:v>
                </c:pt>
                <c:pt idx="1">
                  <c:v>88.3399209486166</c:v>
                </c:pt>
                <c:pt idx="2">
                  <c:v>89.32926829268293</c:v>
                </c:pt>
                <c:pt idx="3">
                  <c:v>93.54838709677419</c:v>
                </c:pt>
              </c:numCache>
            </c:numRef>
          </c:val>
        </c:ser>
        <c:dLbls>
          <c:showLegendKey val="0"/>
          <c:showVal val="1"/>
          <c:showCatName val="0"/>
          <c:showSerName val="0"/>
          <c:showPercent val="0"/>
          <c:showBubbleSize val="0"/>
        </c:dLbls>
        <c:gapWidth val="75"/>
        <c:axId val="1569429736"/>
        <c:axId val="1569340056"/>
      </c:barChart>
      <c:catAx>
        <c:axId val="1569429736"/>
        <c:scaling>
          <c:orientation val="minMax"/>
        </c:scaling>
        <c:delete val="0"/>
        <c:axPos val="b"/>
        <c:majorTickMark val="none"/>
        <c:minorTickMark val="none"/>
        <c:tickLblPos val="nextTo"/>
        <c:crossAx val="1569340056"/>
        <c:crosses val="autoZero"/>
        <c:auto val="1"/>
        <c:lblAlgn val="ctr"/>
        <c:lblOffset val="100"/>
        <c:noMultiLvlLbl val="0"/>
      </c:catAx>
      <c:valAx>
        <c:axId val="1569340056"/>
        <c:scaling>
          <c:orientation val="minMax"/>
        </c:scaling>
        <c:delete val="0"/>
        <c:axPos val="l"/>
        <c:numFmt formatCode="General" sourceLinked="1"/>
        <c:majorTickMark val="none"/>
        <c:minorTickMark val="none"/>
        <c:tickLblPos val="nextTo"/>
        <c:crossAx val="1569429736"/>
        <c:crosses val="autoZero"/>
        <c:crossBetween val="between"/>
      </c:valAx>
    </c:plotArea>
    <c:legend>
      <c:legendPos val="b"/>
      <c:layout>
        <c:manualLayout>
          <c:xMode val="edge"/>
          <c:yMode val="edge"/>
          <c:x val="0.276908865330991"/>
          <c:y val="0.858485387761629"/>
          <c:w val="0.554346432125002"/>
          <c:h val="0.0608084438563886"/>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5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2535029275187"/>
          <c:y val="0.205218584037325"/>
          <c:w val="0.870798304058147"/>
          <c:h val="0.550597549064324"/>
        </c:manualLayout>
      </c:layout>
      <c:barChart>
        <c:barDir val="col"/>
        <c:grouping val="clustered"/>
        <c:varyColors val="0"/>
        <c:ser>
          <c:idx val="0"/>
          <c:order val="0"/>
          <c:tx>
            <c:strRef>
              <c:f>[1]LAPOP3!$EH$16</c:f>
              <c:strCache>
                <c:ptCount val="1"/>
                <c:pt idx="0">
                  <c:v>Que el Congreso decida</c:v>
                </c:pt>
              </c:strCache>
            </c:strRef>
          </c:tx>
          <c:invertIfNegative val="0"/>
          <c:dLbls>
            <c:numFmt formatCode="#,##0.0" sourceLinked="0"/>
            <c:showLegendKey val="0"/>
            <c:showVal val="1"/>
            <c:showCatName val="0"/>
            <c:showSerName val="0"/>
            <c:showPercent val="0"/>
            <c:showBubbleSize val="0"/>
            <c:showLeaderLines val="0"/>
          </c:dLbls>
          <c:cat>
            <c:strRef>
              <c:f>[1]LAPOP3!$EI$15:$EJ$15</c:f>
              <c:strCache>
                <c:ptCount val="2"/>
                <c:pt idx="0">
                  <c:v>_x0019_Sí ha participado (11.4%)</c:v>
                </c:pt>
                <c:pt idx="1">
                  <c:v>_x0019_No ha participado (88.6%)</c:v>
                </c:pt>
              </c:strCache>
            </c:strRef>
          </c:cat>
          <c:val>
            <c:numRef>
              <c:f>[1]LAPOP3!$EI$16:$EJ$16</c:f>
              <c:numCache>
                <c:formatCode>General</c:formatCode>
                <c:ptCount val="2"/>
                <c:pt idx="0">
                  <c:v>5.7</c:v>
                </c:pt>
                <c:pt idx="1">
                  <c:v>11.0</c:v>
                </c:pt>
              </c:numCache>
            </c:numRef>
          </c:val>
        </c:ser>
        <c:ser>
          <c:idx val="1"/>
          <c:order val="1"/>
          <c:tx>
            <c:strRef>
              <c:f>[1]LAPOP3!$EH$17</c:f>
              <c:strCache>
                <c:ptCount val="1"/>
                <c:pt idx="0">
                  <c:v>Que la ciudadanía decida </c:v>
                </c:pt>
              </c:strCache>
            </c:strRef>
          </c:tx>
          <c:invertIfNegative val="0"/>
          <c:dLbls>
            <c:numFmt formatCode="#,##0.0" sourceLinked="0"/>
            <c:showLegendKey val="0"/>
            <c:showVal val="1"/>
            <c:showCatName val="0"/>
            <c:showSerName val="0"/>
            <c:showPercent val="0"/>
            <c:showBubbleSize val="0"/>
            <c:showLeaderLines val="0"/>
          </c:dLbls>
          <c:cat>
            <c:strRef>
              <c:f>[1]LAPOP3!$EI$15:$EJ$15</c:f>
              <c:strCache>
                <c:ptCount val="2"/>
                <c:pt idx="0">
                  <c:v>_x0019_Sí ha participado (11.4%)</c:v>
                </c:pt>
                <c:pt idx="1">
                  <c:v>_x0019_No ha participado (88.6%)</c:v>
                </c:pt>
              </c:strCache>
            </c:strRef>
          </c:cat>
          <c:val>
            <c:numRef>
              <c:f>[1]LAPOP3!$EI$17:$EJ$17</c:f>
              <c:numCache>
                <c:formatCode>General</c:formatCode>
                <c:ptCount val="2"/>
                <c:pt idx="0">
                  <c:v>94.3</c:v>
                </c:pt>
                <c:pt idx="1">
                  <c:v>89.0</c:v>
                </c:pt>
              </c:numCache>
            </c:numRef>
          </c:val>
        </c:ser>
        <c:dLbls>
          <c:showLegendKey val="0"/>
          <c:showVal val="1"/>
          <c:showCatName val="0"/>
          <c:showSerName val="0"/>
          <c:showPercent val="0"/>
          <c:showBubbleSize val="0"/>
        </c:dLbls>
        <c:gapWidth val="75"/>
        <c:axId val="1569491032"/>
        <c:axId val="1569046440"/>
      </c:barChart>
      <c:catAx>
        <c:axId val="1569491032"/>
        <c:scaling>
          <c:orientation val="minMax"/>
        </c:scaling>
        <c:delete val="0"/>
        <c:axPos val="b"/>
        <c:majorTickMark val="none"/>
        <c:minorTickMark val="none"/>
        <c:tickLblPos val="nextTo"/>
        <c:crossAx val="1569046440"/>
        <c:crosses val="autoZero"/>
        <c:auto val="1"/>
        <c:lblAlgn val="ctr"/>
        <c:lblOffset val="100"/>
        <c:noMultiLvlLbl val="0"/>
      </c:catAx>
      <c:valAx>
        <c:axId val="1569046440"/>
        <c:scaling>
          <c:orientation val="minMax"/>
        </c:scaling>
        <c:delete val="0"/>
        <c:axPos val="l"/>
        <c:numFmt formatCode="General" sourceLinked="1"/>
        <c:majorTickMark val="none"/>
        <c:minorTickMark val="none"/>
        <c:tickLblPos val="nextTo"/>
        <c:crossAx val="1569491032"/>
        <c:crosses val="autoZero"/>
        <c:crossBetween val="between"/>
      </c:valAx>
    </c:plotArea>
    <c:legend>
      <c:legendPos val="b"/>
      <c:layout>
        <c:manualLayout>
          <c:xMode val="edge"/>
          <c:yMode val="edge"/>
          <c:x val="0.230767131031698"/>
          <c:y val="0.861958824013652"/>
          <c:w val="0.623396601740572"/>
          <c:h val="0.0664202511876098"/>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5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3235622000305"/>
          <c:y val="0.175581558237974"/>
          <c:w val="0.864906454502427"/>
          <c:h val="0.570853256569802"/>
        </c:manualLayout>
      </c:layout>
      <c:barChart>
        <c:barDir val="col"/>
        <c:grouping val="clustered"/>
        <c:varyColors val="0"/>
        <c:ser>
          <c:idx val="0"/>
          <c:order val="0"/>
          <c:tx>
            <c:strRef>
              <c:f>[1]LAPOP4!$M$17</c:f>
              <c:strCache>
                <c:ptCount val="1"/>
                <c:pt idx="0">
                  <c:v>Que el Congreso decida</c:v>
                </c:pt>
              </c:strCache>
            </c:strRef>
          </c:tx>
          <c:invertIfNegative val="0"/>
          <c:dLbls>
            <c:numFmt formatCode="#,##0.0" sourceLinked="0"/>
            <c:showLegendKey val="0"/>
            <c:showVal val="1"/>
            <c:showCatName val="0"/>
            <c:showSerName val="0"/>
            <c:showPercent val="0"/>
            <c:showBubbleSize val="0"/>
            <c:showLeaderLines val="0"/>
          </c:dLbls>
          <c:cat>
            <c:strRef>
              <c:f>[1]LAPOP4!$N$16:$O$16</c:f>
              <c:strCache>
                <c:ptCount val="2"/>
                <c:pt idx="0">
                  <c:v>_x0012_Satisfecho (37.7%)</c:v>
                </c:pt>
                <c:pt idx="1">
                  <c:v>_x0014_Insatisfecho (62.3%)</c:v>
                </c:pt>
              </c:strCache>
            </c:strRef>
          </c:cat>
          <c:val>
            <c:numRef>
              <c:f>[1]LAPOP4!$N$17:$O$17</c:f>
              <c:numCache>
                <c:formatCode>General</c:formatCode>
                <c:ptCount val="2"/>
                <c:pt idx="0">
                  <c:v>12.10045662100457</c:v>
                </c:pt>
                <c:pt idx="1">
                  <c:v>9.241379310344827</c:v>
                </c:pt>
              </c:numCache>
            </c:numRef>
          </c:val>
        </c:ser>
        <c:ser>
          <c:idx val="1"/>
          <c:order val="1"/>
          <c:tx>
            <c:strRef>
              <c:f>[1]LAPOP4!$M$18</c:f>
              <c:strCache>
                <c:ptCount val="1"/>
                <c:pt idx="0">
                  <c:v>Que la ciudadanía decida </c:v>
                </c:pt>
              </c:strCache>
            </c:strRef>
          </c:tx>
          <c:invertIfNegative val="0"/>
          <c:dLbls>
            <c:numFmt formatCode="#,##0.0" sourceLinked="0"/>
            <c:showLegendKey val="0"/>
            <c:showVal val="1"/>
            <c:showCatName val="0"/>
            <c:showSerName val="0"/>
            <c:showPercent val="0"/>
            <c:showBubbleSize val="0"/>
            <c:showLeaderLines val="0"/>
          </c:dLbls>
          <c:cat>
            <c:strRef>
              <c:f>[1]LAPOP4!$N$16:$O$16</c:f>
              <c:strCache>
                <c:ptCount val="2"/>
                <c:pt idx="0">
                  <c:v>_x0012_Satisfecho (37.7%)</c:v>
                </c:pt>
                <c:pt idx="1">
                  <c:v>_x0014_Insatisfecho (62.3%)</c:v>
                </c:pt>
              </c:strCache>
            </c:strRef>
          </c:cat>
          <c:val>
            <c:numRef>
              <c:f>[1]LAPOP4!$N$18:$O$18</c:f>
              <c:numCache>
                <c:formatCode>General</c:formatCode>
                <c:ptCount val="2"/>
                <c:pt idx="0">
                  <c:v>87.89954337899543</c:v>
                </c:pt>
                <c:pt idx="1">
                  <c:v>90.75862068965517</c:v>
                </c:pt>
              </c:numCache>
            </c:numRef>
          </c:val>
        </c:ser>
        <c:dLbls>
          <c:showLegendKey val="0"/>
          <c:showVal val="1"/>
          <c:showCatName val="0"/>
          <c:showSerName val="0"/>
          <c:showPercent val="0"/>
          <c:showBubbleSize val="0"/>
        </c:dLbls>
        <c:gapWidth val="75"/>
        <c:axId val="1569677672"/>
        <c:axId val="1569680584"/>
      </c:barChart>
      <c:catAx>
        <c:axId val="1569677672"/>
        <c:scaling>
          <c:orientation val="minMax"/>
        </c:scaling>
        <c:delete val="0"/>
        <c:axPos val="b"/>
        <c:majorTickMark val="none"/>
        <c:minorTickMark val="none"/>
        <c:tickLblPos val="nextTo"/>
        <c:crossAx val="1569680584"/>
        <c:crosses val="autoZero"/>
        <c:auto val="1"/>
        <c:lblAlgn val="ctr"/>
        <c:lblOffset val="100"/>
        <c:noMultiLvlLbl val="0"/>
      </c:catAx>
      <c:valAx>
        <c:axId val="1569680584"/>
        <c:scaling>
          <c:orientation val="minMax"/>
        </c:scaling>
        <c:delete val="0"/>
        <c:axPos val="l"/>
        <c:numFmt formatCode="General" sourceLinked="1"/>
        <c:majorTickMark val="none"/>
        <c:minorTickMark val="none"/>
        <c:tickLblPos val="nextTo"/>
        <c:crossAx val="1569677672"/>
        <c:crosses val="autoZero"/>
        <c:crossBetween val="between"/>
      </c:valAx>
    </c:plotArea>
    <c:legend>
      <c:legendPos val="b"/>
      <c:layout>
        <c:manualLayout>
          <c:xMode val="edge"/>
          <c:yMode val="edge"/>
          <c:x val="0.265025210149774"/>
          <c:y val="0.859531258956452"/>
          <c:w val="0.529561941866059"/>
          <c:h val="0.0703957590825896"/>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5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8719891893531"/>
          <c:y val="0.176892135139691"/>
          <c:w val="0.866036267793815"/>
          <c:h val="0.565517239295721"/>
        </c:manualLayout>
      </c:layout>
      <c:barChart>
        <c:barDir val="col"/>
        <c:grouping val="clustered"/>
        <c:varyColors val="0"/>
        <c:ser>
          <c:idx val="0"/>
          <c:order val="0"/>
          <c:tx>
            <c:strRef>
              <c:f>[1]LAPOP4!$BN$12</c:f>
              <c:strCache>
                <c:ptCount val="1"/>
                <c:pt idx="0">
                  <c:v>Que el Congreso decida</c:v>
                </c:pt>
              </c:strCache>
            </c:strRef>
          </c:tx>
          <c:invertIfNegative val="0"/>
          <c:dLbls>
            <c:numFmt formatCode="#,##0.0" sourceLinked="0"/>
            <c:showLegendKey val="0"/>
            <c:showVal val="1"/>
            <c:showCatName val="0"/>
            <c:showSerName val="0"/>
            <c:showPercent val="0"/>
            <c:showBubbleSize val="0"/>
            <c:showLeaderLines val="0"/>
          </c:dLbls>
          <c:cat>
            <c:strRef>
              <c:f>[1]LAPOP4!$BO$11:$BQ$11</c:f>
              <c:strCache>
                <c:ptCount val="3"/>
                <c:pt idx="0">
                  <c:v>_x000c_Buena (5.6%)</c:v>
                </c:pt>
                <c:pt idx="1">
                  <c:v>_x000f_Regular (59.7%)</c:v>
                </c:pt>
                <c:pt idx="2">
                  <c:v>_x000c_Mala (34.7%)</c:v>
                </c:pt>
              </c:strCache>
            </c:strRef>
          </c:cat>
          <c:val>
            <c:numRef>
              <c:f>[1]LAPOP4!$BO$12:$BQ$12</c:f>
              <c:numCache>
                <c:formatCode>General</c:formatCode>
                <c:ptCount val="3"/>
                <c:pt idx="0">
                  <c:v>13.88888888888889</c:v>
                </c:pt>
                <c:pt idx="1">
                  <c:v>10.96605744125326</c:v>
                </c:pt>
                <c:pt idx="2">
                  <c:v>11.65919282511211</c:v>
                </c:pt>
              </c:numCache>
            </c:numRef>
          </c:val>
        </c:ser>
        <c:ser>
          <c:idx val="1"/>
          <c:order val="1"/>
          <c:tx>
            <c:strRef>
              <c:f>[1]LAPOP4!$BN$13</c:f>
              <c:strCache>
                <c:ptCount val="1"/>
                <c:pt idx="0">
                  <c:v>Que la ciudadanía decida </c:v>
                </c:pt>
              </c:strCache>
            </c:strRef>
          </c:tx>
          <c:invertIfNegative val="0"/>
          <c:dLbls>
            <c:numFmt formatCode="#,##0.0" sourceLinked="0"/>
            <c:showLegendKey val="0"/>
            <c:showVal val="1"/>
            <c:showCatName val="0"/>
            <c:showSerName val="0"/>
            <c:showPercent val="0"/>
            <c:showBubbleSize val="0"/>
            <c:showLeaderLines val="0"/>
          </c:dLbls>
          <c:cat>
            <c:strRef>
              <c:f>[1]LAPOP4!$BO$11:$BQ$11</c:f>
              <c:strCache>
                <c:ptCount val="3"/>
                <c:pt idx="0">
                  <c:v>_x000c_Buena (5.6%)</c:v>
                </c:pt>
                <c:pt idx="1">
                  <c:v>_x000f_Regular (59.7%)</c:v>
                </c:pt>
                <c:pt idx="2">
                  <c:v>_x000c_Mala (34.7%)</c:v>
                </c:pt>
              </c:strCache>
            </c:strRef>
          </c:cat>
          <c:val>
            <c:numRef>
              <c:f>[1]LAPOP4!$BO$13:$BQ$13</c:f>
              <c:numCache>
                <c:formatCode>General</c:formatCode>
                <c:ptCount val="3"/>
                <c:pt idx="0">
                  <c:v>86.11111111111111</c:v>
                </c:pt>
                <c:pt idx="1">
                  <c:v>89.03394255874673</c:v>
                </c:pt>
                <c:pt idx="2">
                  <c:v>88.34080717488789</c:v>
                </c:pt>
              </c:numCache>
            </c:numRef>
          </c:val>
        </c:ser>
        <c:dLbls>
          <c:showLegendKey val="0"/>
          <c:showVal val="1"/>
          <c:showCatName val="0"/>
          <c:showSerName val="0"/>
          <c:showPercent val="0"/>
          <c:showBubbleSize val="0"/>
        </c:dLbls>
        <c:gapWidth val="75"/>
        <c:axId val="1569650600"/>
        <c:axId val="1569628680"/>
      </c:barChart>
      <c:catAx>
        <c:axId val="1569650600"/>
        <c:scaling>
          <c:orientation val="minMax"/>
        </c:scaling>
        <c:delete val="0"/>
        <c:axPos val="b"/>
        <c:majorTickMark val="none"/>
        <c:minorTickMark val="none"/>
        <c:tickLblPos val="nextTo"/>
        <c:crossAx val="1569628680"/>
        <c:crosses val="autoZero"/>
        <c:auto val="1"/>
        <c:lblAlgn val="ctr"/>
        <c:lblOffset val="100"/>
        <c:noMultiLvlLbl val="0"/>
      </c:catAx>
      <c:valAx>
        <c:axId val="1569628680"/>
        <c:scaling>
          <c:orientation val="minMax"/>
        </c:scaling>
        <c:delete val="0"/>
        <c:axPos val="l"/>
        <c:numFmt formatCode="General" sourceLinked="1"/>
        <c:majorTickMark val="none"/>
        <c:minorTickMark val="none"/>
        <c:tickLblPos val="nextTo"/>
        <c:crossAx val="1569650600"/>
        <c:crosses val="autoZero"/>
        <c:crossBetween val="between"/>
      </c:valAx>
    </c:plotArea>
    <c:legend>
      <c:legendPos val="b"/>
      <c:layout>
        <c:manualLayout>
          <c:xMode val="edge"/>
          <c:yMode val="edge"/>
          <c:x val="0.23551104304733"/>
          <c:y val="0.846204672111683"/>
          <c:w val="0.564025402820414"/>
          <c:h val="0.0693828706157034"/>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5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654881559913"/>
          <c:y val="0.156573991296082"/>
          <c:w val="0.85401358043889"/>
          <c:h val="0.577405290476969"/>
        </c:manualLayout>
      </c:layout>
      <c:barChart>
        <c:barDir val="col"/>
        <c:grouping val="clustered"/>
        <c:varyColors val="0"/>
        <c:ser>
          <c:idx val="0"/>
          <c:order val="0"/>
          <c:tx>
            <c:strRef>
              <c:f>LAPOP2!$CS$3</c:f>
              <c:strCache>
                <c:ptCount val="1"/>
                <c:pt idx="0">
                  <c:v>Que el Congreso decida</c:v>
                </c:pt>
              </c:strCache>
            </c:strRef>
          </c:tx>
          <c:invertIfNegative val="0"/>
          <c:dLbls>
            <c:numFmt formatCode="#,##0.0" sourceLinked="0"/>
            <c:showLegendKey val="0"/>
            <c:showVal val="1"/>
            <c:showCatName val="0"/>
            <c:showSerName val="0"/>
            <c:showPercent val="0"/>
            <c:showBubbleSize val="0"/>
            <c:showLeaderLines val="0"/>
          </c:dLbls>
          <c:cat>
            <c:strRef>
              <c:f>LAPOP2!$CT$2:$CU$2</c:f>
              <c:strCache>
                <c:ptCount val="2"/>
                <c:pt idx="0">
                  <c:v>Sí votó (68.3%)</c:v>
                </c:pt>
                <c:pt idx="1">
                  <c:v>No votó (31.7%)</c:v>
                </c:pt>
              </c:strCache>
            </c:strRef>
          </c:cat>
          <c:val>
            <c:numRef>
              <c:f>LAPOP2!$CT$3:$CU$3</c:f>
              <c:numCache>
                <c:formatCode>0.00</c:formatCode>
                <c:ptCount val="2"/>
                <c:pt idx="0">
                  <c:v>11.02863202545069</c:v>
                </c:pt>
                <c:pt idx="1">
                  <c:v>8.924485125858123</c:v>
                </c:pt>
              </c:numCache>
            </c:numRef>
          </c:val>
        </c:ser>
        <c:ser>
          <c:idx val="1"/>
          <c:order val="1"/>
          <c:tx>
            <c:strRef>
              <c:f>LAPOP2!$CS$4</c:f>
              <c:strCache>
                <c:ptCount val="1"/>
                <c:pt idx="0">
                  <c:v>Que la ciudadanía decida </c:v>
                </c:pt>
              </c:strCache>
            </c:strRef>
          </c:tx>
          <c:invertIfNegative val="0"/>
          <c:dLbls>
            <c:numFmt formatCode="#,##0.0" sourceLinked="0"/>
            <c:showLegendKey val="0"/>
            <c:showVal val="1"/>
            <c:showCatName val="0"/>
            <c:showSerName val="0"/>
            <c:showPercent val="0"/>
            <c:showBubbleSize val="0"/>
            <c:showLeaderLines val="0"/>
          </c:dLbls>
          <c:cat>
            <c:strRef>
              <c:f>LAPOP2!$CT$2:$CU$2</c:f>
              <c:strCache>
                <c:ptCount val="2"/>
                <c:pt idx="0">
                  <c:v>Sí votó (68.3%)</c:v>
                </c:pt>
                <c:pt idx="1">
                  <c:v>No votó (31.7%)</c:v>
                </c:pt>
              </c:strCache>
            </c:strRef>
          </c:cat>
          <c:val>
            <c:numRef>
              <c:f>LAPOP2!$CT$4:$CU$4</c:f>
              <c:numCache>
                <c:formatCode>0.00</c:formatCode>
                <c:ptCount val="2"/>
                <c:pt idx="0">
                  <c:v>88.97136797454931</c:v>
                </c:pt>
                <c:pt idx="1">
                  <c:v>91.07551487414187</c:v>
                </c:pt>
              </c:numCache>
            </c:numRef>
          </c:val>
        </c:ser>
        <c:dLbls>
          <c:showLegendKey val="0"/>
          <c:showVal val="1"/>
          <c:showCatName val="0"/>
          <c:showSerName val="0"/>
          <c:showPercent val="0"/>
          <c:showBubbleSize val="0"/>
        </c:dLbls>
        <c:gapWidth val="75"/>
        <c:axId val="1569579016"/>
        <c:axId val="1569571272"/>
      </c:barChart>
      <c:catAx>
        <c:axId val="1569579016"/>
        <c:scaling>
          <c:orientation val="minMax"/>
        </c:scaling>
        <c:delete val="0"/>
        <c:axPos val="b"/>
        <c:majorTickMark val="none"/>
        <c:minorTickMark val="none"/>
        <c:tickLblPos val="nextTo"/>
        <c:crossAx val="1569571272"/>
        <c:crosses val="autoZero"/>
        <c:auto val="1"/>
        <c:lblAlgn val="ctr"/>
        <c:lblOffset val="100"/>
        <c:noMultiLvlLbl val="0"/>
      </c:catAx>
      <c:valAx>
        <c:axId val="1569571272"/>
        <c:scaling>
          <c:orientation val="minMax"/>
        </c:scaling>
        <c:delete val="0"/>
        <c:axPos val="l"/>
        <c:numFmt formatCode="General" sourceLinked="0"/>
        <c:majorTickMark val="none"/>
        <c:minorTickMark val="none"/>
        <c:tickLblPos val="nextTo"/>
        <c:crossAx val="1569579016"/>
        <c:crosses val="autoZero"/>
        <c:crossBetween val="between"/>
      </c:valAx>
    </c:plotArea>
    <c:legend>
      <c:legendPos val="b"/>
      <c:layout>
        <c:manualLayout>
          <c:xMode val="edge"/>
          <c:yMode val="edge"/>
          <c:x val="0.23368985519539"/>
          <c:y val="0.847406901402735"/>
          <c:w val="0.637946253127695"/>
          <c:h val="0.0706018959735464"/>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5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529036811575"/>
          <c:y val="0.175794769363171"/>
          <c:w val="0.870059771940272"/>
          <c:h val="0.559772362122749"/>
        </c:manualLayout>
      </c:layout>
      <c:barChart>
        <c:barDir val="col"/>
        <c:grouping val="clustered"/>
        <c:varyColors val="0"/>
        <c:ser>
          <c:idx val="0"/>
          <c:order val="0"/>
          <c:tx>
            <c:strRef>
              <c:f>LAPOP2!$CY$3</c:f>
              <c:strCache>
                <c:ptCount val="1"/>
                <c:pt idx="0">
                  <c:v>Que el Congreso decida</c:v>
                </c:pt>
              </c:strCache>
            </c:strRef>
          </c:tx>
          <c:invertIfNegative val="0"/>
          <c:dLbls>
            <c:numFmt formatCode="#,##0.0" sourceLinked="0"/>
            <c:showLegendKey val="0"/>
            <c:showVal val="1"/>
            <c:showCatName val="0"/>
            <c:showSerName val="0"/>
            <c:showPercent val="0"/>
            <c:showBubbleSize val="0"/>
            <c:showLeaderLines val="0"/>
          </c:dLbls>
          <c:cat>
            <c:strRef>
              <c:f>LAPOP2!$CZ$2:$DB$2</c:f>
              <c:strCache>
                <c:ptCount val="3"/>
                <c:pt idx="0">
                  <c:v>Sí Votaría (63.4%)</c:v>
                </c:pt>
                <c:pt idx="1">
                  <c:v>No Votaría (26.8%)</c:v>
                </c:pt>
                <c:pt idx="2">
                  <c:v>Anularía o Dejaría en Blanco (9.8%)</c:v>
                </c:pt>
              </c:strCache>
            </c:strRef>
          </c:cat>
          <c:val>
            <c:numRef>
              <c:f>LAPOP2!$CZ$3:$DB$3</c:f>
              <c:numCache>
                <c:formatCode>0.00</c:formatCode>
                <c:ptCount val="3"/>
                <c:pt idx="0">
                  <c:v>10.6612685560054</c:v>
                </c:pt>
                <c:pt idx="1">
                  <c:v>10.22364217252396</c:v>
                </c:pt>
                <c:pt idx="2">
                  <c:v>11.40350877192983</c:v>
                </c:pt>
              </c:numCache>
            </c:numRef>
          </c:val>
        </c:ser>
        <c:ser>
          <c:idx val="1"/>
          <c:order val="1"/>
          <c:tx>
            <c:strRef>
              <c:f>LAPOP2!$CY$4</c:f>
              <c:strCache>
                <c:ptCount val="1"/>
                <c:pt idx="0">
                  <c:v>Que la ciudadanía decida </c:v>
                </c:pt>
              </c:strCache>
            </c:strRef>
          </c:tx>
          <c:invertIfNegative val="0"/>
          <c:dLbls>
            <c:numFmt formatCode="#,##0.0" sourceLinked="0"/>
            <c:showLegendKey val="0"/>
            <c:showVal val="1"/>
            <c:showCatName val="0"/>
            <c:showSerName val="0"/>
            <c:showPercent val="0"/>
            <c:showBubbleSize val="0"/>
            <c:showLeaderLines val="0"/>
          </c:dLbls>
          <c:cat>
            <c:strRef>
              <c:f>LAPOP2!$CZ$2:$DB$2</c:f>
              <c:strCache>
                <c:ptCount val="3"/>
                <c:pt idx="0">
                  <c:v>Sí Votaría (63.4%)</c:v>
                </c:pt>
                <c:pt idx="1">
                  <c:v>No Votaría (26.8%)</c:v>
                </c:pt>
                <c:pt idx="2">
                  <c:v>Anularía o Dejaría en Blanco (9.8%)</c:v>
                </c:pt>
              </c:strCache>
            </c:strRef>
          </c:cat>
          <c:val>
            <c:numRef>
              <c:f>LAPOP2!$CZ$4:$DB$4</c:f>
              <c:numCache>
                <c:formatCode>0.00</c:formatCode>
                <c:ptCount val="3"/>
                <c:pt idx="0">
                  <c:v>89.3387314439946</c:v>
                </c:pt>
                <c:pt idx="1">
                  <c:v>89.77635782747603</c:v>
                </c:pt>
                <c:pt idx="2">
                  <c:v>88.59649122807017</c:v>
                </c:pt>
              </c:numCache>
            </c:numRef>
          </c:val>
        </c:ser>
        <c:dLbls>
          <c:showLegendKey val="0"/>
          <c:showVal val="1"/>
          <c:showCatName val="0"/>
          <c:showSerName val="0"/>
          <c:showPercent val="0"/>
          <c:showBubbleSize val="0"/>
        </c:dLbls>
        <c:gapWidth val="75"/>
        <c:axId val="1567024968"/>
        <c:axId val="1567585000"/>
      </c:barChart>
      <c:catAx>
        <c:axId val="1567024968"/>
        <c:scaling>
          <c:orientation val="minMax"/>
        </c:scaling>
        <c:delete val="0"/>
        <c:axPos val="b"/>
        <c:majorTickMark val="none"/>
        <c:minorTickMark val="none"/>
        <c:tickLblPos val="nextTo"/>
        <c:crossAx val="1567585000"/>
        <c:crosses val="autoZero"/>
        <c:auto val="1"/>
        <c:lblAlgn val="ctr"/>
        <c:lblOffset val="100"/>
        <c:noMultiLvlLbl val="0"/>
      </c:catAx>
      <c:valAx>
        <c:axId val="1567585000"/>
        <c:scaling>
          <c:orientation val="minMax"/>
        </c:scaling>
        <c:delete val="0"/>
        <c:axPos val="l"/>
        <c:numFmt formatCode="General" sourceLinked="0"/>
        <c:majorTickMark val="none"/>
        <c:minorTickMark val="none"/>
        <c:tickLblPos val="nextTo"/>
        <c:crossAx val="1567024968"/>
        <c:crosses val="autoZero"/>
        <c:crossBetween val="between"/>
      </c:valAx>
    </c:plotArea>
    <c:legend>
      <c:legendPos val="b"/>
      <c:layout>
        <c:manualLayout>
          <c:xMode val="edge"/>
          <c:yMode val="edge"/>
          <c:x val="0.235011623547057"/>
          <c:y val="0.872115960733345"/>
          <c:w val="0.597203467213657"/>
          <c:h val="0.0720793644167674"/>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6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977065039644913"/>
          <c:y val="0.17371743119949"/>
          <c:w val="0.883096288356626"/>
          <c:h val="0.579251135605197"/>
        </c:manualLayout>
      </c:layout>
      <c:barChart>
        <c:barDir val="col"/>
        <c:grouping val="clustered"/>
        <c:varyColors val="0"/>
        <c:ser>
          <c:idx val="0"/>
          <c:order val="0"/>
          <c:tx>
            <c:strRef>
              <c:f>LAPOP2!$DD$3</c:f>
              <c:strCache>
                <c:ptCount val="1"/>
                <c:pt idx="0">
                  <c:v>Que el Congreso decida</c:v>
                </c:pt>
              </c:strCache>
            </c:strRef>
          </c:tx>
          <c:invertIfNegative val="0"/>
          <c:dLbls>
            <c:numFmt formatCode="#,##0.0" sourceLinked="0"/>
            <c:showLegendKey val="0"/>
            <c:showVal val="1"/>
            <c:showCatName val="0"/>
            <c:showSerName val="0"/>
            <c:showPercent val="0"/>
            <c:showBubbleSize val="0"/>
            <c:showLeaderLines val="0"/>
          </c:dLbls>
          <c:cat>
            <c:strRef>
              <c:f>LAPOP2!$DE$2:$DG$2</c:f>
              <c:strCache>
                <c:ptCount val="3"/>
                <c:pt idx="0">
                  <c:v>Probablemente No Votará (14.3%)</c:v>
                </c:pt>
                <c:pt idx="1">
                  <c:v>Inseguro de Votar (31.1%)</c:v>
                </c:pt>
                <c:pt idx="2">
                  <c:v>Probablemente Votará (54.5%)</c:v>
                </c:pt>
              </c:strCache>
            </c:strRef>
          </c:cat>
          <c:val>
            <c:numRef>
              <c:f>LAPOP2!$DE$3:$DG$3</c:f>
              <c:numCache>
                <c:formatCode>0.00</c:formatCode>
                <c:ptCount val="3"/>
                <c:pt idx="0">
                  <c:v>5.82010582010582</c:v>
                </c:pt>
                <c:pt idx="1">
                  <c:v>14.84184914841849</c:v>
                </c:pt>
                <c:pt idx="2">
                  <c:v>9.027777777777779</c:v>
                </c:pt>
              </c:numCache>
            </c:numRef>
          </c:val>
        </c:ser>
        <c:ser>
          <c:idx val="1"/>
          <c:order val="1"/>
          <c:tx>
            <c:strRef>
              <c:f>LAPOP2!$DD$4</c:f>
              <c:strCache>
                <c:ptCount val="1"/>
                <c:pt idx="0">
                  <c:v>Que la ciudadanía decida </c:v>
                </c:pt>
              </c:strCache>
            </c:strRef>
          </c:tx>
          <c:invertIfNegative val="0"/>
          <c:dLbls>
            <c:numFmt formatCode="#,##0.0" sourceLinked="0"/>
            <c:showLegendKey val="0"/>
            <c:showVal val="1"/>
            <c:showCatName val="0"/>
            <c:showSerName val="0"/>
            <c:showPercent val="0"/>
            <c:showBubbleSize val="0"/>
            <c:showLeaderLines val="0"/>
          </c:dLbls>
          <c:cat>
            <c:strRef>
              <c:f>LAPOP2!$DE$2:$DG$2</c:f>
              <c:strCache>
                <c:ptCount val="3"/>
                <c:pt idx="0">
                  <c:v>Probablemente No Votará (14.3%)</c:v>
                </c:pt>
                <c:pt idx="1">
                  <c:v>Inseguro de Votar (31.1%)</c:v>
                </c:pt>
                <c:pt idx="2">
                  <c:v>Probablemente Votará (54.5%)</c:v>
                </c:pt>
              </c:strCache>
            </c:strRef>
          </c:cat>
          <c:val>
            <c:numRef>
              <c:f>LAPOP2!$DE$4:$DG$4</c:f>
              <c:numCache>
                <c:formatCode>0.00</c:formatCode>
                <c:ptCount val="3"/>
                <c:pt idx="0">
                  <c:v>94.17989417989418</c:v>
                </c:pt>
                <c:pt idx="1">
                  <c:v>85.15815085158151</c:v>
                </c:pt>
                <c:pt idx="2">
                  <c:v>90.97222222222223</c:v>
                </c:pt>
              </c:numCache>
            </c:numRef>
          </c:val>
        </c:ser>
        <c:dLbls>
          <c:showLegendKey val="0"/>
          <c:showVal val="1"/>
          <c:showCatName val="0"/>
          <c:showSerName val="0"/>
          <c:showPercent val="0"/>
          <c:showBubbleSize val="0"/>
        </c:dLbls>
        <c:gapWidth val="75"/>
        <c:axId val="1572145944"/>
        <c:axId val="2083631704"/>
      </c:barChart>
      <c:catAx>
        <c:axId val="1572145944"/>
        <c:scaling>
          <c:orientation val="minMax"/>
        </c:scaling>
        <c:delete val="0"/>
        <c:axPos val="b"/>
        <c:majorTickMark val="none"/>
        <c:minorTickMark val="none"/>
        <c:tickLblPos val="nextTo"/>
        <c:crossAx val="2083631704"/>
        <c:crosses val="autoZero"/>
        <c:auto val="1"/>
        <c:lblAlgn val="ctr"/>
        <c:lblOffset val="100"/>
        <c:noMultiLvlLbl val="0"/>
      </c:catAx>
      <c:valAx>
        <c:axId val="2083631704"/>
        <c:scaling>
          <c:orientation val="minMax"/>
        </c:scaling>
        <c:delete val="0"/>
        <c:axPos val="l"/>
        <c:numFmt formatCode="General" sourceLinked="0"/>
        <c:majorTickMark val="none"/>
        <c:minorTickMark val="none"/>
        <c:tickLblPos val="nextTo"/>
        <c:crossAx val="1572145944"/>
        <c:crosses val="autoZero"/>
        <c:crossBetween val="between"/>
      </c:valAx>
    </c:plotArea>
    <c:legend>
      <c:legendPos val="b"/>
      <c:layout>
        <c:manualLayout>
          <c:xMode val="edge"/>
          <c:yMode val="edge"/>
          <c:x val="0.3198062414973"/>
          <c:y val="0.858970151632808"/>
          <c:w val="0.465099558890217"/>
          <c:h val="0.0652518021792368"/>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6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0538377824723"/>
          <c:y val="0.163902778152427"/>
          <c:w val="0.869949427053326"/>
          <c:h val="0.575757415797886"/>
        </c:manualLayout>
      </c:layout>
      <c:barChart>
        <c:barDir val="col"/>
        <c:grouping val="clustered"/>
        <c:varyColors val="0"/>
        <c:ser>
          <c:idx val="0"/>
          <c:order val="0"/>
          <c:tx>
            <c:strRef>
              <c:f>LAPOP2!$BL$34</c:f>
              <c:strCache>
                <c:ptCount val="1"/>
                <c:pt idx="0">
                  <c:v>Que el Congreso decida</c:v>
                </c:pt>
              </c:strCache>
            </c:strRef>
          </c:tx>
          <c:invertIfNegative val="0"/>
          <c:dLbls>
            <c:numFmt formatCode="#,##0.0" sourceLinked="0"/>
            <c:showLegendKey val="0"/>
            <c:showVal val="1"/>
            <c:showCatName val="0"/>
            <c:showSerName val="0"/>
            <c:showPercent val="0"/>
            <c:showBubbleSize val="0"/>
            <c:showLeaderLines val="0"/>
          </c:dLbls>
          <c:cat>
            <c:strRef>
              <c:f>LAPOP2!$BM$33:$BO$33</c:f>
              <c:strCache>
                <c:ptCount val="3"/>
                <c:pt idx="0">
                  <c:v>Baja Confianza (16.3%)</c:v>
                </c:pt>
                <c:pt idx="1">
                  <c:v>Confianza Media (66.1%)</c:v>
                </c:pt>
                <c:pt idx="2">
                  <c:v>Alta Confianza (17.6%)</c:v>
                </c:pt>
              </c:strCache>
            </c:strRef>
          </c:cat>
          <c:val>
            <c:numRef>
              <c:f>LAPOP2!$BM$34:$BO$34</c:f>
              <c:numCache>
                <c:formatCode>0.00</c:formatCode>
                <c:ptCount val="3"/>
                <c:pt idx="0">
                  <c:v>8.444444444444444</c:v>
                </c:pt>
                <c:pt idx="1">
                  <c:v>10.32967032967033</c:v>
                </c:pt>
                <c:pt idx="2">
                  <c:v>13.22314049586777</c:v>
                </c:pt>
              </c:numCache>
            </c:numRef>
          </c:val>
        </c:ser>
        <c:ser>
          <c:idx val="1"/>
          <c:order val="1"/>
          <c:tx>
            <c:strRef>
              <c:f>LAPOP2!$BL$35</c:f>
              <c:strCache>
                <c:ptCount val="1"/>
                <c:pt idx="0">
                  <c:v>Que la ciudadanía decida </c:v>
                </c:pt>
              </c:strCache>
            </c:strRef>
          </c:tx>
          <c:invertIfNegative val="0"/>
          <c:dLbls>
            <c:numFmt formatCode="#,##0.0" sourceLinked="0"/>
            <c:showLegendKey val="0"/>
            <c:showVal val="1"/>
            <c:showCatName val="0"/>
            <c:showSerName val="0"/>
            <c:showPercent val="0"/>
            <c:showBubbleSize val="0"/>
            <c:showLeaderLines val="0"/>
          </c:dLbls>
          <c:cat>
            <c:strRef>
              <c:f>LAPOP2!$BM$33:$BO$33</c:f>
              <c:strCache>
                <c:ptCount val="3"/>
                <c:pt idx="0">
                  <c:v>Baja Confianza (16.3%)</c:v>
                </c:pt>
                <c:pt idx="1">
                  <c:v>Confianza Media (66.1%)</c:v>
                </c:pt>
                <c:pt idx="2">
                  <c:v>Alta Confianza (17.6%)</c:v>
                </c:pt>
              </c:strCache>
            </c:strRef>
          </c:cat>
          <c:val>
            <c:numRef>
              <c:f>LAPOP2!$BM$35:$BO$35</c:f>
              <c:numCache>
                <c:formatCode>0.00</c:formatCode>
                <c:ptCount val="3"/>
                <c:pt idx="0">
                  <c:v>91.55555555555556</c:v>
                </c:pt>
                <c:pt idx="1">
                  <c:v>89.67032967032968</c:v>
                </c:pt>
                <c:pt idx="2">
                  <c:v>86.77685950413223</c:v>
                </c:pt>
              </c:numCache>
            </c:numRef>
          </c:val>
        </c:ser>
        <c:dLbls>
          <c:showLegendKey val="0"/>
          <c:showVal val="1"/>
          <c:showCatName val="0"/>
          <c:showSerName val="0"/>
          <c:showPercent val="0"/>
          <c:showBubbleSize val="0"/>
        </c:dLbls>
        <c:gapWidth val="75"/>
        <c:axId val="1567536680"/>
        <c:axId val="1567535400"/>
      </c:barChart>
      <c:catAx>
        <c:axId val="1567536680"/>
        <c:scaling>
          <c:orientation val="minMax"/>
        </c:scaling>
        <c:delete val="0"/>
        <c:axPos val="b"/>
        <c:majorTickMark val="none"/>
        <c:minorTickMark val="none"/>
        <c:tickLblPos val="nextTo"/>
        <c:crossAx val="1567535400"/>
        <c:crosses val="autoZero"/>
        <c:auto val="1"/>
        <c:lblAlgn val="ctr"/>
        <c:lblOffset val="100"/>
        <c:noMultiLvlLbl val="0"/>
      </c:catAx>
      <c:valAx>
        <c:axId val="1567535400"/>
        <c:scaling>
          <c:orientation val="minMax"/>
          <c:max val="100.0"/>
        </c:scaling>
        <c:delete val="0"/>
        <c:axPos val="l"/>
        <c:numFmt formatCode="General" sourceLinked="0"/>
        <c:majorTickMark val="none"/>
        <c:minorTickMark val="none"/>
        <c:tickLblPos val="nextTo"/>
        <c:crossAx val="1567536680"/>
        <c:crosses val="autoZero"/>
        <c:crossBetween val="between"/>
      </c:valAx>
    </c:plotArea>
    <c:legend>
      <c:legendPos val="b"/>
      <c:layout>
        <c:manualLayout>
          <c:xMode val="edge"/>
          <c:yMode val="edge"/>
          <c:x val="0.213276828201353"/>
          <c:y val="0.837016378539275"/>
          <c:w val="0.577782216247359"/>
          <c:h val="0.0703957806610772"/>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6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LAPOP2!$BL$65</c:f>
              <c:strCache>
                <c:ptCount val="1"/>
                <c:pt idx="0">
                  <c:v>Que el Congreso decida</c:v>
                </c:pt>
              </c:strCache>
            </c:strRef>
          </c:tx>
          <c:invertIfNegative val="0"/>
          <c:dLbls>
            <c:numFmt formatCode="#,##0.0" sourceLinked="0"/>
            <c:showLegendKey val="0"/>
            <c:showVal val="1"/>
            <c:showCatName val="0"/>
            <c:showSerName val="0"/>
            <c:showPercent val="0"/>
            <c:showBubbleSize val="0"/>
            <c:showLeaderLines val="0"/>
          </c:dLbls>
          <c:cat>
            <c:strRef>
              <c:f>LAPOP2!$BM$64:$BO$64</c:f>
              <c:strCache>
                <c:ptCount val="3"/>
                <c:pt idx="0">
                  <c:v>Baja Confianza (31.6%)</c:v>
                </c:pt>
                <c:pt idx="1">
                  <c:v>Confianza Media (57.1%)</c:v>
                </c:pt>
                <c:pt idx="2">
                  <c:v>Alta Confianza (11.3%)</c:v>
                </c:pt>
              </c:strCache>
            </c:strRef>
          </c:cat>
          <c:val>
            <c:numRef>
              <c:f>LAPOP2!$BM$65:$BO$65</c:f>
              <c:numCache>
                <c:formatCode>0.00</c:formatCode>
                <c:ptCount val="3"/>
                <c:pt idx="0">
                  <c:v>7.126436781609195</c:v>
                </c:pt>
                <c:pt idx="1">
                  <c:v>12.22929936305733</c:v>
                </c:pt>
                <c:pt idx="2">
                  <c:v>11.53846153846154</c:v>
                </c:pt>
              </c:numCache>
            </c:numRef>
          </c:val>
        </c:ser>
        <c:ser>
          <c:idx val="1"/>
          <c:order val="1"/>
          <c:tx>
            <c:strRef>
              <c:f>LAPOP2!$BL$66</c:f>
              <c:strCache>
                <c:ptCount val="1"/>
                <c:pt idx="0">
                  <c:v>Que la ciudadanía decida </c:v>
                </c:pt>
              </c:strCache>
            </c:strRef>
          </c:tx>
          <c:invertIfNegative val="0"/>
          <c:dLbls>
            <c:numFmt formatCode="#,##0.0" sourceLinked="0"/>
            <c:showLegendKey val="0"/>
            <c:showVal val="1"/>
            <c:showCatName val="0"/>
            <c:showSerName val="0"/>
            <c:showPercent val="0"/>
            <c:showBubbleSize val="0"/>
            <c:showLeaderLines val="0"/>
          </c:dLbls>
          <c:cat>
            <c:strRef>
              <c:f>LAPOP2!$BM$64:$BO$64</c:f>
              <c:strCache>
                <c:ptCount val="3"/>
                <c:pt idx="0">
                  <c:v>Baja Confianza (31.6%)</c:v>
                </c:pt>
                <c:pt idx="1">
                  <c:v>Confianza Media (57.1%)</c:v>
                </c:pt>
                <c:pt idx="2">
                  <c:v>Alta Confianza (11.3%)</c:v>
                </c:pt>
              </c:strCache>
            </c:strRef>
          </c:cat>
          <c:val>
            <c:numRef>
              <c:f>LAPOP2!$BM$66:$BO$66</c:f>
              <c:numCache>
                <c:formatCode>0.00</c:formatCode>
                <c:ptCount val="3"/>
                <c:pt idx="0">
                  <c:v>92.8735632183908</c:v>
                </c:pt>
                <c:pt idx="1">
                  <c:v>87.77070063694268</c:v>
                </c:pt>
                <c:pt idx="2">
                  <c:v>88.46153846153846</c:v>
                </c:pt>
              </c:numCache>
            </c:numRef>
          </c:val>
        </c:ser>
        <c:dLbls>
          <c:showLegendKey val="0"/>
          <c:showVal val="1"/>
          <c:showCatName val="0"/>
          <c:showSerName val="0"/>
          <c:showPercent val="0"/>
          <c:showBubbleSize val="0"/>
        </c:dLbls>
        <c:gapWidth val="75"/>
        <c:axId val="1567460936"/>
        <c:axId val="1567415096"/>
      </c:barChart>
      <c:catAx>
        <c:axId val="1567460936"/>
        <c:scaling>
          <c:orientation val="minMax"/>
        </c:scaling>
        <c:delete val="0"/>
        <c:axPos val="b"/>
        <c:majorTickMark val="none"/>
        <c:minorTickMark val="none"/>
        <c:tickLblPos val="nextTo"/>
        <c:crossAx val="1567415096"/>
        <c:crosses val="autoZero"/>
        <c:auto val="1"/>
        <c:lblAlgn val="ctr"/>
        <c:lblOffset val="100"/>
        <c:noMultiLvlLbl val="0"/>
      </c:catAx>
      <c:valAx>
        <c:axId val="1567415096"/>
        <c:scaling>
          <c:orientation val="minMax"/>
          <c:max val="100.0"/>
        </c:scaling>
        <c:delete val="0"/>
        <c:axPos val="l"/>
        <c:numFmt formatCode="General" sourceLinked="0"/>
        <c:majorTickMark val="none"/>
        <c:minorTickMark val="none"/>
        <c:tickLblPos val="nextTo"/>
        <c:crossAx val="1567460936"/>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944150888701937"/>
          <c:y val="0.160968511414706"/>
          <c:w val="0.887977868312679"/>
          <c:h val="0.515772109682871"/>
        </c:manualLayout>
      </c:layout>
      <c:barChart>
        <c:barDir val="col"/>
        <c:grouping val="clustered"/>
        <c:varyColors val="0"/>
        <c:ser>
          <c:idx val="0"/>
          <c:order val="0"/>
          <c:tx>
            <c:strRef>
              <c:f>LAPOP2!$AS$36</c:f>
              <c:strCache>
                <c:ptCount val="1"/>
              </c:strCache>
            </c:strRef>
          </c:tx>
          <c:invertIfNegative val="0"/>
          <c:dLbls>
            <c:numFmt formatCode="#,##0.0" sourceLinked="0"/>
            <c:showLegendKey val="0"/>
            <c:showVal val="1"/>
            <c:showCatName val="0"/>
            <c:showSerName val="0"/>
            <c:showPercent val="0"/>
            <c:showBubbleSize val="0"/>
            <c:showLeaderLines val="0"/>
          </c:dLbls>
          <c:cat>
            <c:numRef>
              <c:f>LAPOP2!$AT$35:$AV$35</c:f>
              <c:numCache>
                <c:formatCode>General</c:formatCode>
                <c:ptCount val="3"/>
              </c:numCache>
            </c:numRef>
          </c:cat>
          <c:val>
            <c:numRef>
              <c:f>LAPOP2!$AT$36:$AV$36</c:f>
              <c:numCache>
                <c:formatCode>General</c:formatCode>
                <c:ptCount val="3"/>
              </c:numCache>
            </c:numRef>
          </c:val>
        </c:ser>
        <c:ser>
          <c:idx val="1"/>
          <c:order val="1"/>
          <c:tx>
            <c:strRef>
              <c:f>LAPOP2!$AS$37</c:f>
              <c:strCache>
                <c:ptCount val="1"/>
              </c:strCache>
            </c:strRef>
          </c:tx>
          <c:invertIfNegative val="0"/>
          <c:dLbls>
            <c:numFmt formatCode="#,##0.0" sourceLinked="0"/>
            <c:showLegendKey val="0"/>
            <c:showVal val="1"/>
            <c:showCatName val="0"/>
            <c:showSerName val="0"/>
            <c:showPercent val="0"/>
            <c:showBubbleSize val="0"/>
            <c:showLeaderLines val="0"/>
          </c:dLbls>
          <c:cat>
            <c:numRef>
              <c:f>LAPOP2!$AT$35:$AV$35</c:f>
              <c:numCache>
                <c:formatCode>General</c:formatCode>
                <c:ptCount val="3"/>
              </c:numCache>
            </c:numRef>
          </c:cat>
          <c:val>
            <c:numRef>
              <c:f>LAPOP2!$AT$37:$AV$37</c:f>
              <c:numCache>
                <c:formatCode>General</c:formatCode>
                <c:ptCount val="3"/>
              </c:numCache>
            </c:numRef>
          </c:val>
        </c:ser>
        <c:dLbls>
          <c:showLegendKey val="0"/>
          <c:showVal val="1"/>
          <c:showCatName val="0"/>
          <c:showSerName val="0"/>
          <c:showPercent val="0"/>
          <c:showBubbleSize val="0"/>
        </c:dLbls>
        <c:gapWidth val="75"/>
        <c:axId val="1567449704"/>
        <c:axId val="1567452680"/>
      </c:barChart>
      <c:catAx>
        <c:axId val="1567449704"/>
        <c:scaling>
          <c:orientation val="minMax"/>
        </c:scaling>
        <c:delete val="0"/>
        <c:axPos val="b"/>
        <c:numFmt formatCode="General" sourceLinked="1"/>
        <c:majorTickMark val="none"/>
        <c:minorTickMark val="none"/>
        <c:tickLblPos val="nextTo"/>
        <c:crossAx val="1567452680"/>
        <c:crosses val="autoZero"/>
        <c:auto val="1"/>
        <c:lblAlgn val="ctr"/>
        <c:lblOffset val="100"/>
        <c:noMultiLvlLbl val="0"/>
      </c:catAx>
      <c:valAx>
        <c:axId val="1567452680"/>
        <c:scaling>
          <c:orientation val="minMax"/>
          <c:max val="100.0"/>
        </c:scaling>
        <c:delete val="0"/>
        <c:axPos val="l"/>
        <c:numFmt formatCode="General" sourceLinked="0"/>
        <c:majorTickMark val="none"/>
        <c:minorTickMark val="none"/>
        <c:tickLblPos val="nextTo"/>
        <c:crossAx val="1567449704"/>
        <c:crosses val="autoZero"/>
        <c:crossBetween val="between"/>
      </c:valAx>
    </c:plotArea>
    <c:legend>
      <c:legendPos val="b"/>
      <c:layout>
        <c:manualLayout>
          <c:xMode val="edge"/>
          <c:yMode val="edge"/>
          <c:x val="0.302719386967385"/>
          <c:y val="0.84251868113137"/>
          <c:w val="0.0435568044700732"/>
          <c:h val="0.0686910290059896"/>
        </c:manualLayout>
      </c:layout>
      <c:overlay val="0"/>
      <c:spPr>
        <a:ln>
          <a:solidFill>
            <a:schemeClr val="tx1"/>
          </a:solidFill>
        </a:ln>
      </c:spPr>
    </c:legend>
    <c:plotVisOnly val="1"/>
    <c:dispBlanksAs val="gap"/>
    <c:showDLblsOverMax val="0"/>
  </c:chart>
  <c:spPr>
    <a:ln>
      <a:solidFill>
        <a:schemeClr val="tx1"/>
      </a:solidFill>
    </a:ln>
  </c:spPr>
  <c:printSettings>
    <c:headerFooter/>
    <c:pageMargins b="0.75" l="0.7" r="0.7" t="0.75" header="0.3" footer="0.3"/>
    <c:pageSetup/>
  </c:printSettings>
  <c:userShapes r:id="rId1"/>
</c:chartSpace>
</file>

<file path=xl/charts/chart6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705469248776"/>
          <c:y val="0.157466156093817"/>
          <c:w val="0.849738998841361"/>
          <c:h val="0.647857281479346"/>
        </c:manualLayout>
      </c:layout>
      <c:barChart>
        <c:barDir val="col"/>
        <c:grouping val="clustered"/>
        <c:varyColors val="0"/>
        <c:ser>
          <c:idx val="0"/>
          <c:order val="0"/>
          <c:invertIfNegative val="0"/>
          <c:dLbls>
            <c:numFmt formatCode="#,##0.0" sourceLinked="0"/>
            <c:showLegendKey val="0"/>
            <c:showVal val="1"/>
            <c:showCatName val="0"/>
            <c:showSerName val="0"/>
            <c:showPercent val="0"/>
            <c:showBubbleSize val="0"/>
            <c:showLeaderLines val="0"/>
          </c:dLbls>
          <c:cat>
            <c:strRef>
              <c:f>[1]CEP13!$B$13:$B$15</c:f>
              <c:strCache>
                <c:ptCount val="3"/>
                <c:pt idx="0">
                  <c:v>
De Acuerdo</c:v>
                </c:pt>
                <c:pt idx="1">
                  <c:v>_x000e_En  Desacuerdo</c:v>
                </c:pt>
                <c:pt idx="2">
                  <c:v>_x0005_NS/NR</c:v>
                </c:pt>
              </c:strCache>
            </c:strRef>
          </c:cat>
          <c:val>
            <c:numRef>
              <c:f>[1]CEP13!$C$13:$C$15</c:f>
              <c:numCache>
                <c:formatCode>General</c:formatCode>
                <c:ptCount val="3"/>
                <c:pt idx="0">
                  <c:v>44.71400382777275</c:v>
                </c:pt>
                <c:pt idx="1">
                  <c:v>21.45985200665358</c:v>
                </c:pt>
                <c:pt idx="2">
                  <c:v>33.82614416557367</c:v>
                </c:pt>
              </c:numCache>
            </c:numRef>
          </c:val>
        </c:ser>
        <c:dLbls>
          <c:showLegendKey val="0"/>
          <c:showVal val="1"/>
          <c:showCatName val="0"/>
          <c:showSerName val="0"/>
          <c:showPercent val="0"/>
          <c:showBubbleSize val="0"/>
        </c:dLbls>
        <c:gapWidth val="75"/>
        <c:axId val="1567310248"/>
        <c:axId val="1567301128"/>
      </c:barChart>
      <c:catAx>
        <c:axId val="1567310248"/>
        <c:scaling>
          <c:orientation val="minMax"/>
        </c:scaling>
        <c:delete val="0"/>
        <c:axPos val="b"/>
        <c:majorTickMark val="none"/>
        <c:minorTickMark val="none"/>
        <c:tickLblPos val="nextTo"/>
        <c:crossAx val="1567301128"/>
        <c:crosses val="autoZero"/>
        <c:auto val="1"/>
        <c:lblAlgn val="ctr"/>
        <c:lblOffset val="100"/>
        <c:noMultiLvlLbl val="0"/>
      </c:catAx>
      <c:valAx>
        <c:axId val="1567301128"/>
        <c:scaling>
          <c:orientation val="minMax"/>
          <c:max val="100.0"/>
        </c:scaling>
        <c:delete val="0"/>
        <c:axPos val="l"/>
        <c:numFmt formatCode="General" sourceLinked="1"/>
        <c:majorTickMark val="none"/>
        <c:minorTickMark val="none"/>
        <c:tickLblPos val="nextTo"/>
        <c:crossAx val="1567310248"/>
        <c:crosses val="autoZero"/>
        <c:crossBetween val="between"/>
      </c:valAx>
    </c:plotArea>
    <c:plotVisOnly val="1"/>
    <c:dispBlanksAs val="gap"/>
    <c:showDLblsOverMax val="0"/>
  </c:chart>
  <c:printSettings>
    <c:headerFooter/>
    <c:pageMargins b="0.75" l="0.7" r="0.7" t="0.75" header="0.3" footer="0.3"/>
    <c:pageSetup/>
  </c:printSettings>
  <c:userShapes r:id="rId1"/>
</c:chartSpace>
</file>

<file path=xl/charts/chart6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7182852143482"/>
          <c:y val="0.163499339015865"/>
          <c:w val="0.822261592300962"/>
          <c:h val="0.578048098617758"/>
        </c:manualLayout>
      </c:layout>
      <c:barChart>
        <c:barDir val="col"/>
        <c:grouping val="clustered"/>
        <c:varyColors val="0"/>
        <c:ser>
          <c:idx val="0"/>
          <c:order val="0"/>
          <c:tx>
            <c:strRef>
              <c:f>[1]CEP13!$I$13</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[1]CEP13!$J$12:$K$12</c:f>
              <c:strCache>
                <c:ptCount val="2"/>
                <c:pt idx="0">
                  <c:v>_x000e_Hombre (48.9%)</c:v>
                </c:pt>
                <c:pt idx="1">
                  <c:v>_x000d_Mujer (51.1%)</c:v>
                </c:pt>
              </c:strCache>
            </c:strRef>
          </c:cat>
          <c:val>
            <c:numRef>
              <c:f>[1]CEP13!$J$13:$K$13</c:f>
              <c:numCache>
                <c:formatCode>General</c:formatCode>
                <c:ptCount val="2"/>
                <c:pt idx="0">
                  <c:v>48.86363636363637</c:v>
                </c:pt>
                <c:pt idx="1">
                  <c:v>40.65484311050478</c:v>
                </c:pt>
              </c:numCache>
            </c:numRef>
          </c:val>
        </c:ser>
        <c:ser>
          <c:idx val="1"/>
          <c:order val="1"/>
          <c:tx>
            <c:strRef>
              <c:f>[1]CEP13!$I$14</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[1]CEP13!$J$12:$K$12</c:f>
              <c:strCache>
                <c:ptCount val="2"/>
                <c:pt idx="0">
                  <c:v>_x000e_Hombre (48.9%)</c:v>
                </c:pt>
                <c:pt idx="1">
                  <c:v>_x000d_Mujer (51.1%)</c:v>
                </c:pt>
              </c:strCache>
            </c:strRef>
          </c:cat>
          <c:val>
            <c:numRef>
              <c:f>[1]CEP13!$J$14:$K$14</c:f>
              <c:numCache>
                <c:formatCode>General</c:formatCode>
                <c:ptCount val="2"/>
                <c:pt idx="0">
                  <c:v>22.86931818181818</c:v>
                </c:pt>
                <c:pt idx="1">
                  <c:v>20.19099590723056</c:v>
                </c:pt>
              </c:numCache>
            </c:numRef>
          </c:val>
        </c:ser>
        <c:ser>
          <c:idx val="2"/>
          <c:order val="2"/>
          <c:tx>
            <c:strRef>
              <c:f>[1]CEP13!$I$15</c:f>
              <c:strCache>
                <c:ptCount val="1"/>
                <c:pt idx="0">
                  <c:v>NS/NR</c:v>
                </c:pt>
              </c:strCache>
            </c:strRef>
          </c:tx>
          <c:invertIfNegative val="0"/>
          <c:dLbls>
            <c:numFmt formatCode="#,##0.0" sourceLinked="0"/>
            <c:showLegendKey val="0"/>
            <c:showVal val="1"/>
            <c:showCatName val="0"/>
            <c:showSerName val="0"/>
            <c:showPercent val="0"/>
            <c:showBubbleSize val="0"/>
            <c:showLeaderLines val="0"/>
          </c:dLbls>
          <c:cat>
            <c:strRef>
              <c:f>[1]CEP13!$J$12:$K$12</c:f>
              <c:strCache>
                <c:ptCount val="2"/>
                <c:pt idx="0">
                  <c:v>_x000e_Hombre (48.9%)</c:v>
                </c:pt>
                <c:pt idx="1">
                  <c:v>_x000d_Mujer (51.1%)</c:v>
                </c:pt>
              </c:strCache>
            </c:strRef>
          </c:cat>
          <c:val>
            <c:numRef>
              <c:f>[1]CEP13!$J$15:$K$15</c:f>
              <c:numCache>
                <c:formatCode>General</c:formatCode>
                <c:ptCount val="2"/>
                <c:pt idx="0">
                  <c:v>28.26704545454545</c:v>
                </c:pt>
                <c:pt idx="1">
                  <c:v>39.15416098226466</c:v>
                </c:pt>
              </c:numCache>
            </c:numRef>
          </c:val>
        </c:ser>
        <c:dLbls>
          <c:showLegendKey val="0"/>
          <c:showVal val="1"/>
          <c:showCatName val="0"/>
          <c:showSerName val="0"/>
          <c:showPercent val="0"/>
          <c:showBubbleSize val="0"/>
        </c:dLbls>
        <c:gapWidth val="75"/>
        <c:axId val="1567247624"/>
        <c:axId val="1567236440"/>
      </c:barChart>
      <c:catAx>
        <c:axId val="1567247624"/>
        <c:scaling>
          <c:orientation val="minMax"/>
        </c:scaling>
        <c:delete val="0"/>
        <c:axPos val="b"/>
        <c:majorTickMark val="none"/>
        <c:minorTickMark val="none"/>
        <c:tickLblPos val="nextTo"/>
        <c:crossAx val="1567236440"/>
        <c:crosses val="autoZero"/>
        <c:auto val="1"/>
        <c:lblAlgn val="ctr"/>
        <c:lblOffset val="100"/>
        <c:noMultiLvlLbl val="0"/>
      </c:catAx>
      <c:valAx>
        <c:axId val="1567236440"/>
        <c:scaling>
          <c:orientation val="minMax"/>
          <c:max val="100.0"/>
        </c:scaling>
        <c:delete val="0"/>
        <c:axPos val="l"/>
        <c:numFmt formatCode="General" sourceLinked="1"/>
        <c:majorTickMark val="none"/>
        <c:minorTickMark val="none"/>
        <c:tickLblPos val="nextTo"/>
        <c:crossAx val="1567247624"/>
        <c:crosses val="autoZero"/>
        <c:crossBetween val="between"/>
      </c:valAx>
    </c:plotArea>
    <c:legend>
      <c:legendPos val="b"/>
      <c:layout>
        <c:manualLayout>
          <c:xMode val="edge"/>
          <c:yMode val="edge"/>
          <c:x val="0.238298556430446"/>
          <c:y val="0.844161565669207"/>
          <c:w val="0.567847112860893"/>
          <c:h val="0.0685933074833679"/>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6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5516185476815"/>
          <c:y val="0.192205029122378"/>
          <c:w val="0.813928258967629"/>
          <c:h val="0.524430250076038"/>
        </c:manualLayout>
      </c:layout>
      <c:barChart>
        <c:barDir val="col"/>
        <c:grouping val="clustered"/>
        <c:varyColors val="0"/>
        <c:ser>
          <c:idx val="0"/>
          <c:order val="0"/>
          <c:tx>
            <c:strRef>
              <c:f>[1]CEP13!$O$13</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[1]CEP13!$P$12:$S$12</c:f>
              <c:strCache>
                <c:ptCount val="4"/>
                <c:pt idx="0">
                  <c:v>_x0014_18 a 29 años (27.0%)</c:v>
                </c:pt>
                <c:pt idx="1">
                  <c:v>_x0014_30 a 45 años (30.3%)</c:v>
                </c:pt>
                <c:pt idx="2">
                  <c:v>_x0014_46 a 60 años (24.5%)</c:v>
                </c:pt>
                <c:pt idx="3">
                  <c:v>_x0015_61 años y más (18.1%)</c:v>
                </c:pt>
              </c:strCache>
            </c:strRef>
          </c:cat>
          <c:val>
            <c:numRef>
              <c:f>[1]CEP13!$P$13:$S$13</c:f>
              <c:numCache>
                <c:formatCode>General</c:formatCode>
                <c:ptCount val="4"/>
                <c:pt idx="0">
                  <c:v>47.28682170542636</c:v>
                </c:pt>
                <c:pt idx="1">
                  <c:v>45.16129032258064</c:v>
                </c:pt>
                <c:pt idx="2">
                  <c:v>46.875</c:v>
                </c:pt>
                <c:pt idx="3">
                  <c:v>38.07692307692308</c:v>
                </c:pt>
              </c:numCache>
            </c:numRef>
          </c:val>
        </c:ser>
        <c:ser>
          <c:idx val="1"/>
          <c:order val="1"/>
          <c:tx>
            <c:strRef>
              <c:f>[1]CEP13!$O$14</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[1]CEP13!$P$12:$S$12</c:f>
              <c:strCache>
                <c:ptCount val="4"/>
                <c:pt idx="0">
                  <c:v>_x0014_18 a 29 años (27.0%)</c:v>
                </c:pt>
                <c:pt idx="1">
                  <c:v>_x0014_30 a 45 años (30.3%)</c:v>
                </c:pt>
                <c:pt idx="2">
                  <c:v>_x0014_46 a 60 años (24.5%)</c:v>
                </c:pt>
                <c:pt idx="3">
                  <c:v>_x0015_61 años y más (18.1%)</c:v>
                </c:pt>
              </c:strCache>
            </c:strRef>
          </c:cat>
          <c:val>
            <c:numRef>
              <c:f>[1]CEP13!$P$14:$S$14</c:f>
              <c:numCache>
                <c:formatCode>General</c:formatCode>
                <c:ptCount val="4"/>
                <c:pt idx="0">
                  <c:v>25.58139534883721</c:v>
                </c:pt>
                <c:pt idx="1">
                  <c:v>22.8110599078341</c:v>
                </c:pt>
                <c:pt idx="2">
                  <c:v>18.46590909090909</c:v>
                </c:pt>
                <c:pt idx="3">
                  <c:v>17.69230769230769</c:v>
                </c:pt>
              </c:numCache>
            </c:numRef>
          </c:val>
        </c:ser>
        <c:ser>
          <c:idx val="2"/>
          <c:order val="2"/>
          <c:tx>
            <c:strRef>
              <c:f>[1]CEP13!$O$15</c:f>
              <c:strCache>
                <c:ptCount val="1"/>
                <c:pt idx="0">
                  <c:v>NS/NR</c:v>
                </c:pt>
              </c:strCache>
            </c:strRef>
          </c:tx>
          <c:invertIfNegative val="0"/>
          <c:dLbls>
            <c:numFmt formatCode="#,##0.0" sourceLinked="0"/>
            <c:showLegendKey val="0"/>
            <c:showVal val="1"/>
            <c:showCatName val="0"/>
            <c:showSerName val="0"/>
            <c:showPercent val="0"/>
            <c:showBubbleSize val="0"/>
            <c:showLeaderLines val="0"/>
          </c:dLbls>
          <c:cat>
            <c:strRef>
              <c:f>[1]CEP13!$P$12:$S$12</c:f>
              <c:strCache>
                <c:ptCount val="4"/>
                <c:pt idx="0">
                  <c:v>_x0014_18 a 29 años (27.0%)</c:v>
                </c:pt>
                <c:pt idx="1">
                  <c:v>_x0014_30 a 45 años (30.3%)</c:v>
                </c:pt>
                <c:pt idx="2">
                  <c:v>_x0014_46 a 60 años (24.5%)</c:v>
                </c:pt>
                <c:pt idx="3">
                  <c:v>_x0015_61 años y más (18.1%)</c:v>
                </c:pt>
              </c:strCache>
            </c:strRef>
          </c:cat>
          <c:val>
            <c:numRef>
              <c:f>[1]CEP13!$P$15:$S$15</c:f>
              <c:numCache>
                <c:formatCode>General</c:formatCode>
                <c:ptCount val="4"/>
                <c:pt idx="0">
                  <c:v>27.13178294573643</c:v>
                </c:pt>
                <c:pt idx="1">
                  <c:v>32.02764976958525</c:v>
                </c:pt>
                <c:pt idx="2">
                  <c:v>34.65909090909091</c:v>
                </c:pt>
                <c:pt idx="3">
                  <c:v>44.23076923076923</c:v>
                </c:pt>
              </c:numCache>
            </c:numRef>
          </c:val>
        </c:ser>
        <c:dLbls>
          <c:showLegendKey val="0"/>
          <c:showVal val="1"/>
          <c:showCatName val="0"/>
          <c:showSerName val="0"/>
          <c:showPercent val="0"/>
          <c:showBubbleSize val="0"/>
        </c:dLbls>
        <c:gapWidth val="75"/>
        <c:axId val="1567151288"/>
        <c:axId val="1567120728"/>
      </c:barChart>
      <c:catAx>
        <c:axId val="1567151288"/>
        <c:scaling>
          <c:orientation val="minMax"/>
        </c:scaling>
        <c:delete val="0"/>
        <c:axPos val="b"/>
        <c:majorTickMark val="none"/>
        <c:minorTickMark val="none"/>
        <c:tickLblPos val="nextTo"/>
        <c:crossAx val="1567120728"/>
        <c:crosses val="autoZero"/>
        <c:auto val="1"/>
        <c:lblAlgn val="ctr"/>
        <c:lblOffset val="100"/>
        <c:noMultiLvlLbl val="0"/>
      </c:catAx>
      <c:valAx>
        <c:axId val="1567120728"/>
        <c:scaling>
          <c:orientation val="minMax"/>
          <c:max val="100.0"/>
        </c:scaling>
        <c:delete val="0"/>
        <c:axPos val="l"/>
        <c:numFmt formatCode="General" sourceLinked="1"/>
        <c:majorTickMark val="none"/>
        <c:minorTickMark val="none"/>
        <c:tickLblPos val="nextTo"/>
        <c:crossAx val="1567151288"/>
        <c:crosses val="autoZero"/>
        <c:crossBetween val="between"/>
      </c:valAx>
    </c:plotArea>
    <c:legend>
      <c:legendPos val="b"/>
      <c:layout>
        <c:manualLayout>
          <c:xMode val="edge"/>
          <c:yMode val="edge"/>
          <c:x val="0.27163188976378"/>
          <c:y val="0.845480367456975"/>
          <c:w val="0.567847112860893"/>
          <c:h val="0.0680128282394222"/>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6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5516185476815"/>
          <c:y val="0.176166428716151"/>
          <c:w val="0.813928258967629"/>
          <c:h val="0.527098381936493"/>
        </c:manualLayout>
      </c:layout>
      <c:barChart>
        <c:barDir val="col"/>
        <c:grouping val="clustered"/>
        <c:varyColors val="0"/>
        <c:ser>
          <c:idx val="0"/>
          <c:order val="0"/>
          <c:tx>
            <c:strRef>
              <c:f>[1]CEP13!$CO$13</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[1]CEP13!$CP$12:$CS$12</c:f>
              <c:strCache>
                <c:ptCount val="4"/>
                <c:pt idx="0">
                  <c:v>_x000e_Básica (24.4%)</c:v>
                </c:pt>
                <c:pt idx="1">
                  <c:v>_x000d_Media (46.8%)</c:v>
                </c:pt>
                <c:pt idx="2">
                  <c:v>_x0014_Técnica Sup. (13.5%)</c:v>
                </c:pt>
                <c:pt idx="3">
                  <c:v>_x0015_Universitaria (16.2%)</c:v>
                </c:pt>
              </c:strCache>
            </c:strRef>
          </c:cat>
          <c:val>
            <c:numRef>
              <c:f>[1]CEP13!$CP$13:$CS$13</c:f>
              <c:numCache>
                <c:formatCode>General</c:formatCode>
                <c:ptCount val="4"/>
                <c:pt idx="0">
                  <c:v>34.22619047619047</c:v>
                </c:pt>
                <c:pt idx="1">
                  <c:v>45.00745156482861</c:v>
                </c:pt>
                <c:pt idx="2">
                  <c:v>44.84536082474226</c:v>
                </c:pt>
                <c:pt idx="3">
                  <c:v>59.65665236051502</c:v>
                </c:pt>
              </c:numCache>
            </c:numRef>
          </c:val>
        </c:ser>
        <c:ser>
          <c:idx val="1"/>
          <c:order val="1"/>
          <c:tx>
            <c:strRef>
              <c:f>[1]CEP13!$CO$14</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[1]CEP13!$CP$12:$CS$12</c:f>
              <c:strCache>
                <c:ptCount val="4"/>
                <c:pt idx="0">
                  <c:v>_x000e_Básica (24.4%)</c:v>
                </c:pt>
                <c:pt idx="1">
                  <c:v>_x000d_Media (46.8%)</c:v>
                </c:pt>
                <c:pt idx="2">
                  <c:v>_x0014_Técnica Sup. (13.5%)</c:v>
                </c:pt>
                <c:pt idx="3">
                  <c:v>_x0015_Universitaria (16.2%)</c:v>
                </c:pt>
              </c:strCache>
            </c:strRef>
          </c:cat>
          <c:val>
            <c:numRef>
              <c:f>[1]CEP13!$CP$14:$CS$14</c:f>
              <c:numCache>
                <c:formatCode>General</c:formatCode>
                <c:ptCount val="4"/>
                <c:pt idx="0">
                  <c:v>17.26190476190476</c:v>
                </c:pt>
                <c:pt idx="1">
                  <c:v>20.41728763040238</c:v>
                </c:pt>
                <c:pt idx="2">
                  <c:v>30.92783505154639</c:v>
                </c:pt>
                <c:pt idx="3">
                  <c:v>22.3175965665236</c:v>
                </c:pt>
              </c:numCache>
            </c:numRef>
          </c:val>
        </c:ser>
        <c:ser>
          <c:idx val="2"/>
          <c:order val="2"/>
          <c:tx>
            <c:strRef>
              <c:f>[1]CEP13!$CO$15</c:f>
              <c:strCache>
                <c:ptCount val="1"/>
                <c:pt idx="0">
                  <c:v>NS/NR</c:v>
                </c:pt>
              </c:strCache>
            </c:strRef>
          </c:tx>
          <c:invertIfNegative val="0"/>
          <c:dLbls>
            <c:numFmt formatCode="#,##0.0" sourceLinked="0"/>
            <c:showLegendKey val="0"/>
            <c:showVal val="1"/>
            <c:showCatName val="0"/>
            <c:showSerName val="0"/>
            <c:showPercent val="0"/>
            <c:showBubbleSize val="0"/>
            <c:showLeaderLines val="0"/>
          </c:dLbls>
          <c:cat>
            <c:strRef>
              <c:f>[1]CEP13!$CP$12:$CS$12</c:f>
              <c:strCache>
                <c:ptCount val="4"/>
                <c:pt idx="0">
                  <c:v>_x000e_Básica (24.4%)</c:v>
                </c:pt>
                <c:pt idx="1">
                  <c:v>_x000d_Media (46.8%)</c:v>
                </c:pt>
                <c:pt idx="2">
                  <c:v>_x0014_Técnica Sup. (13.5%)</c:v>
                </c:pt>
                <c:pt idx="3">
                  <c:v>_x0015_Universitaria (16.2%)</c:v>
                </c:pt>
              </c:strCache>
            </c:strRef>
          </c:cat>
          <c:val>
            <c:numRef>
              <c:f>[1]CEP13!$CP$15:$CS$15</c:f>
              <c:numCache>
                <c:formatCode>General</c:formatCode>
                <c:ptCount val="4"/>
                <c:pt idx="0">
                  <c:v>48.51190476190476</c:v>
                </c:pt>
                <c:pt idx="1">
                  <c:v>34.575260804769</c:v>
                </c:pt>
                <c:pt idx="2">
                  <c:v>24.22680412371134</c:v>
                </c:pt>
                <c:pt idx="3">
                  <c:v>18.02575107296137</c:v>
                </c:pt>
              </c:numCache>
            </c:numRef>
          </c:val>
        </c:ser>
        <c:dLbls>
          <c:showLegendKey val="0"/>
          <c:showVal val="1"/>
          <c:showCatName val="0"/>
          <c:showSerName val="0"/>
          <c:showPercent val="0"/>
          <c:showBubbleSize val="0"/>
        </c:dLbls>
        <c:gapWidth val="75"/>
        <c:axId val="1567060088"/>
        <c:axId val="1567063080"/>
      </c:barChart>
      <c:catAx>
        <c:axId val="1567060088"/>
        <c:scaling>
          <c:orientation val="minMax"/>
        </c:scaling>
        <c:delete val="0"/>
        <c:axPos val="b"/>
        <c:majorTickMark val="none"/>
        <c:minorTickMark val="none"/>
        <c:tickLblPos val="nextTo"/>
        <c:crossAx val="1567063080"/>
        <c:crosses val="autoZero"/>
        <c:auto val="1"/>
        <c:lblAlgn val="ctr"/>
        <c:lblOffset val="100"/>
        <c:noMultiLvlLbl val="0"/>
      </c:catAx>
      <c:valAx>
        <c:axId val="1567063080"/>
        <c:scaling>
          <c:orientation val="minMax"/>
          <c:max val="100.0"/>
        </c:scaling>
        <c:delete val="0"/>
        <c:axPos val="l"/>
        <c:numFmt formatCode="General" sourceLinked="1"/>
        <c:majorTickMark val="none"/>
        <c:minorTickMark val="none"/>
        <c:tickLblPos val="nextTo"/>
        <c:crossAx val="1567060088"/>
        <c:crosses val="autoZero"/>
        <c:crossBetween val="between"/>
      </c:valAx>
    </c:plotArea>
    <c:legend>
      <c:legendPos val="b"/>
      <c:layout>
        <c:manualLayout>
          <c:xMode val="edge"/>
          <c:yMode val="edge"/>
          <c:x val="0.263298556430446"/>
          <c:y val="0.831387027691786"/>
          <c:w val="0.567847112860893"/>
          <c:h val="0.0676312497349561"/>
        </c:manualLayout>
      </c:layout>
      <c:overlay val="0"/>
      <c:spPr>
        <a:noFill/>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6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1071741032371"/>
          <c:y val="0.164026083597655"/>
          <c:w val="0.808372703412074"/>
          <c:h val="0.597444646153279"/>
        </c:manualLayout>
      </c:layout>
      <c:barChart>
        <c:barDir val="col"/>
        <c:grouping val="clustered"/>
        <c:varyColors val="0"/>
        <c:ser>
          <c:idx val="0"/>
          <c:order val="0"/>
          <c:tx>
            <c:strRef>
              <c:f>[1]CEP13!$DD$13</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[1]CEP13!$DE$12:$DF$12</c:f>
              <c:strCache>
                <c:ptCount val="2"/>
                <c:pt idx="0">
                  <c:v>_x0013_Sí Pertenece (6.1%)</c:v>
                </c:pt>
                <c:pt idx="1">
                  <c:v>_x0014_No Pertenece (93.9%)</c:v>
                </c:pt>
              </c:strCache>
            </c:strRef>
          </c:cat>
          <c:val>
            <c:numRef>
              <c:f>[1]CEP13!$DE$13:$DF$13</c:f>
              <c:numCache>
                <c:formatCode>General</c:formatCode>
                <c:ptCount val="2"/>
                <c:pt idx="0">
                  <c:v>29.54545454545455</c:v>
                </c:pt>
                <c:pt idx="1">
                  <c:v>45.77151335311572</c:v>
                </c:pt>
              </c:numCache>
            </c:numRef>
          </c:val>
        </c:ser>
        <c:ser>
          <c:idx val="1"/>
          <c:order val="1"/>
          <c:tx>
            <c:strRef>
              <c:f>[1]CEP13!$DD$14</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[1]CEP13!$DE$12:$DF$12</c:f>
              <c:strCache>
                <c:ptCount val="2"/>
                <c:pt idx="0">
                  <c:v>_x0013_Sí Pertenece (6.1%)</c:v>
                </c:pt>
                <c:pt idx="1">
                  <c:v>_x0014_No Pertenece (93.9%)</c:v>
                </c:pt>
              </c:strCache>
            </c:strRef>
          </c:cat>
          <c:val>
            <c:numRef>
              <c:f>[1]CEP13!$DE$14:$DF$14</c:f>
              <c:numCache>
                <c:formatCode>General</c:formatCode>
                <c:ptCount val="2"/>
                <c:pt idx="0">
                  <c:v>29.54545454545455</c:v>
                </c:pt>
                <c:pt idx="1">
                  <c:v>20.91988130563798</c:v>
                </c:pt>
              </c:numCache>
            </c:numRef>
          </c:val>
        </c:ser>
        <c:ser>
          <c:idx val="2"/>
          <c:order val="2"/>
          <c:tx>
            <c:strRef>
              <c:f>[1]CEP13!$DD$15</c:f>
              <c:strCache>
                <c:ptCount val="1"/>
                <c:pt idx="0">
                  <c:v>NS/NR</c:v>
                </c:pt>
              </c:strCache>
            </c:strRef>
          </c:tx>
          <c:invertIfNegative val="0"/>
          <c:dLbls>
            <c:numFmt formatCode="#,##0.0" sourceLinked="0"/>
            <c:showLegendKey val="0"/>
            <c:showVal val="1"/>
            <c:showCatName val="0"/>
            <c:showSerName val="0"/>
            <c:showPercent val="0"/>
            <c:showBubbleSize val="0"/>
            <c:showLeaderLines val="0"/>
          </c:dLbls>
          <c:cat>
            <c:strRef>
              <c:f>[1]CEP13!$DE$12:$DF$12</c:f>
              <c:strCache>
                <c:ptCount val="2"/>
                <c:pt idx="0">
                  <c:v>_x0013_Sí Pertenece (6.1%)</c:v>
                </c:pt>
                <c:pt idx="1">
                  <c:v>_x0014_No Pertenece (93.9%)</c:v>
                </c:pt>
              </c:strCache>
            </c:strRef>
          </c:cat>
          <c:val>
            <c:numRef>
              <c:f>[1]CEP13!$DE$15:$DF$15</c:f>
              <c:numCache>
                <c:formatCode>General</c:formatCode>
                <c:ptCount val="2"/>
                <c:pt idx="0">
                  <c:v>40.90909090909091</c:v>
                </c:pt>
                <c:pt idx="1">
                  <c:v>33.30860534124629</c:v>
                </c:pt>
              </c:numCache>
            </c:numRef>
          </c:val>
        </c:ser>
        <c:dLbls>
          <c:showLegendKey val="0"/>
          <c:showVal val="1"/>
          <c:showCatName val="0"/>
          <c:showSerName val="0"/>
          <c:showPercent val="0"/>
          <c:showBubbleSize val="0"/>
        </c:dLbls>
        <c:gapWidth val="75"/>
        <c:axId val="1566993432"/>
        <c:axId val="1566986376"/>
      </c:barChart>
      <c:catAx>
        <c:axId val="1566993432"/>
        <c:scaling>
          <c:orientation val="minMax"/>
        </c:scaling>
        <c:delete val="0"/>
        <c:axPos val="b"/>
        <c:majorTickMark val="none"/>
        <c:minorTickMark val="none"/>
        <c:tickLblPos val="nextTo"/>
        <c:crossAx val="1566986376"/>
        <c:crosses val="autoZero"/>
        <c:auto val="1"/>
        <c:lblAlgn val="ctr"/>
        <c:lblOffset val="100"/>
        <c:noMultiLvlLbl val="0"/>
      </c:catAx>
      <c:valAx>
        <c:axId val="1566986376"/>
        <c:scaling>
          <c:orientation val="minMax"/>
          <c:max val="100.0"/>
        </c:scaling>
        <c:delete val="0"/>
        <c:axPos val="l"/>
        <c:numFmt formatCode="General" sourceLinked="1"/>
        <c:majorTickMark val="none"/>
        <c:minorTickMark val="none"/>
        <c:tickLblPos val="nextTo"/>
        <c:crossAx val="1566993432"/>
        <c:crosses val="autoZero"/>
        <c:crossBetween val="between"/>
      </c:valAx>
    </c:plotArea>
    <c:legend>
      <c:legendPos val="b"/>
      <c:layout>
        <c:manualLayout>
          <c:xMode val="edge"/>
          <c:yMode val="edge"/>
          <c:x val="0.266076334208224"/>
          <c:y val="0.847204435628997"/>
          <c:w val="0.567847112860893"/>
          <c:h val="0.0672539683422882"/>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6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5516185476815"/>
          <c:y val="0.180358199026775"/>
          <c:w val="0.813928258967629"/>
          <c:h val="0.565703997744084"/>
        </c:manualLayout>
      </c:layout>
      <c:barChart>
        <c:barDir val="col"/>
        <c:grouping val="clustered"/>
        <c:varyColors val="0"/>
        <c:ser>
          <c:idx val="0"/>
          <c:order val="0"/>
          <c:tx>
            <c:strRef>
              <c:f>[1]CEP13!$DQ$13</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[1]CEP13!$DR$12:$DU$12</c:f>
              <c:strCache>
                <c:ptCount val="4"/>
                <c:pt idx="0">
                  <c:v>_x0011_Izquierda (15.3%)</c:v>
                </c:pt>
                <c:pt idx="1">
                  <c:v>_x000e_Centro (48.9%)</c:v>
                </c:pt>
                <c:pt idx="2">
                  <c:v>_x000f_Derecha (10.2%)</c:v>
                </c:pt>
                <c:pt idx="3">
                  <c:v>_x000d_NS/NR (25.3%)</c:v>
                </c:pt>
              </c:strCache>
            </c:strRef>
          </c:cat>
          <c:val>
            <c:numRef>
              <c:f>[1]CEP13!$DR$13:$DU$13</c:f>
              <c:numCache>
                <c:formatCode>General</c:formatCode>
                <c:ptCount val="4"/>
                <c:pt idx="0">
                  <c:v>61.81818181818181</c:v>
                </c:pt>
                <c:pt idx="1">
                  <c:v>48.86685552407932</c:v>
                </c:pt>
                <c:pt idx="2">
                  <c:v>40.81632653061224</c:v>
                </c:pt>
                <c:pt idx="3">
                  <c:v>28.02197802197802</c:v>
                </c:pt>
              </c:numCache>
            </c:numRef>
          </c:val>
        </c:ser>
        <c:ser>
          <c:idx val="1"/>
          <c:order val="1"/>
          <c:tx>
            <c:strRef>
              <c:f>[1]CEP13!$DQ$14</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[1]CEP13!$DR$12:$DU$12</c:f>
              <c:strCache>
                <c:ptCount val="4"/>
                <c:pt idx="0">
                  <c:v>_x0011_Izquierda (15.3%)</c:v>
                </c:pt>
                <c:pt idx="1">
                  <c:v>_x000e_Centro (48.9%)</c:v>
                </c:pt>
                <c:pt idx="2">
                  <c:v>_x000f_Derecha (10.2%)</c:v>
                </c:pt>
                <c:pt idx="3">
                  <c:v>_x000d_NS/NR (25.3%)</c:v>
                </c:pt>
              </c:strCache>
            </c:strRef>
          </c:cat>
          <c:val>
            <c:numRef>
              <c:f>[1]CEP13!$DR$14:$DU$14</c:f>
              <c:numCache>
                <c:formatCode>General</c:formatCode>
                <c:ptCount val="4"/>
                <c:pt idx="0">
                  <c:v>18.18181818181818</c:v>
                </c:pt>
                <c:pt idx="1">
                  <c:v>21.81303116147309</c:v>
                </c:pt>
                <c:pt idx="2">
                  <c:v>33.33333333333334</c:v>
                </c:pt>
                <c:pt idx="3">
                  <c:v>17.85714285714286</c:v>
                </c:pt>
              </c:numCache>
            </c:numRef>
          </c:val>
        </c:ser>
        <c:ser>
          <c:idx val="2"/>
          <c:order val="2"/>
          <c:tx>
            <c:strRef>
              <c:f>[1]CEP13!$DQ$15</c:f>
              <c:strCache>
                <c:ptCount val="1"/>
                <c:pt idx="0">
                  <c:v>NS/NR</c:v>
                </c:pt>
              </c:strCache>
            </c:strRef>
          </c:tx>
          <c:invertIfNegative val="0"/>
          <c:dLbls>
            <c:numFmt formatCode="#,##0.0" sourceLinked="0"/>
            <c:showLegendKey val="0"/>
            <c:showVal val="1"/>
            <c:showCatName val="0"/>
            <c:showSerName val="0"/>
            <c:showPercent val="0"/>
            <c:showBubbleSize val="0"/>
            <c:showLeaderLines val="0"/>
          </c:dLbls>
          <c:cat>
            <c:strRef>
              <c:f>[1]CEP13!$DR$12:$DU$12</c:f>
              <c:strCache>
                <c:ptCount val="4"/>
                <c:pt idx="0">
                  <c:v>_x0011_Izquierda (15.3%)</c:v>
                </c:pt>
                <c:pt idx="1">
                  <c:v>_x000e_Centro (48.9%)</c:v>
                </c:pt>
                <c:pt idx="2">
                  <c:v>_x000f_Derecha (10.2%)</c:v>
                </c:pt>
                <c:pt idx="3">
                  <c:v>_x000d_NS/NR (25.3%)</c:v>
                </c:pt>
              </c:strCache>
            </c:strRef>
          </c:cat>
          <c:val>
            <c:numRef>
              <c:f>[1]CEP13!$DR$15:$DU$15</c:f>
              <c:numCache>
                <c:formatCode>General</c:formatCode>
                <c:ptCount val="4"/>
                <c:pt idx="0">
                  <c:v>20.0</c:v>
                </c:pt>
                <c:pt idx="1">
                  <c:v>29.32011331444759</c:v>
                </c:pt>
                <c:pt idx="2">
                  <c:v>25.85034013605442</c:v>
                </c:pt>
                <c:pt idx="3">
                  <c:v>54.12087912087912</c:v>
                </c:pt>
              </c:numCache>
            </c:numRef>
          </c:val>
        </c:ser>
        <c:dLbls>
          <c:showLegendKey val="0"/>
          <c:showVal val="1"/>
          <c:showCatName val="0"/>
          <c:showSerName val="0"/>
          <c:showPercent val="0"/>
          <c:showBubbleSize val="0"/>
        </c:dLbls>
        <c:gapWidth val="75"/>
        <c:axId val="1566904408"/>
        <c:axId val="1566899752"/>
      </c:barChart>
      <c:catAx>
        <c:axId val="1566904408"/>
        <c:scaling>
          <c:orientation val="minMax"/>
        </c:scaling>
        <c:delete val="0"/>
        <c:axPos val="b"/>
        <c:majorTickMark val="none"/>
        <c:minorTickMark val="none"/>
        <c:tickLblPos val="nextTo"/>
        <c:crossAx val="1566899752"/>
        <c:crosses val="autoZero"/>
        <c:auto val="1"/>
        <c:lblAlgn val="ctr"/>
        <c:lblOffset val="100"/>
        <c:noMultiLvlLbl val="0"/>
      </c:catAx>
      <c:valAx>
        <c:axId val="1566899752"/>
        <c:scaling>
          <c:orientation val="minMax"/>
          <c:max val="100.0"/>
        </c:scaling>
        <c:delete val="0"/>
        <c:axPos val="l"/>
        <c:numFmt formatCode="General" sourceLinked="1"/>
        <c:majorTickMark val="none"/>
        <c:minorTickMark val="none"/>
        <c:tickLblPos val="nextTo"/>
        <c:crossAx val="1566904408"/>
        <c:crosses val="autoZero"/>
        <c:crossBetween val="between"/>
      </c:valAx>
    </c:plotArea>
    <c:legend>
      <c:legendPos val="b"/>
      <c:layout>
        <c:manualLayout>
          <c:xMode val="edge"/>
          <c:yMode val="edge"/>
          <c:x val="0.260520778652669"/>
          <c:y val="0.838079289675567"/>
          <c:w val="0.567847112860893"/>
          <c:h val="0.0664202511876098"/>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7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3849518810149"/>
          <c:y val="0.154646536951476"/>
          <c:w val="0.805594925634296"/>
          <c:h val="0.595088754401568"/>
        </c:manualLayout>
      </c:layout>
      <c:barChart>
        <c:barDir val="col"/>
        <c:grouping val="clustered"/>
        <c:varyColors val="0"/>
        <c:ser>
          <c:idx val="0"/>
          <c:order val="0"/>
          <c:tx>
            <c:strRef>
              <c:f>[1]CEP13!$ET$13</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[1]CEP13!$EU$12:$EV$12</c:f>
              <c:strCache>
                <c:ptCount val="2"/>
                <c:pt idx="0">
                  <c:v>_x0014_Sí Simpatiza (32.4%)</c:v>
                </c:pt>
                <c:pt idx="1">
                  <c:v>_x0014_No Simpatiza (67.6%)</c:v>
                </c:pt>
              </c:strCache>
            </c:strRef>
          </c:cat>
          <c:val>
            <c:numRef>
              <c:f>[1]CEP13!$EU$13:$EV$13</c:f>
              <c:numCache>
                <c:formatCode>General</c:formatCode>
                <c:ptCount val="2"/>
                <c:pt idx="0">
                  <c:v>55.21739130434783</c:v>
                </c:pt>
                <c:pt idx="1">
                  <c:v>39.95837669094693</c:v>
                </c:pt>
              </c:numCache>
            </c:numRef>
          </c:val>
        </c:ser>
        <c:ser>
          <c:idx val="1"/>
          <c:order val="1"/>
          <c:tx>
            <c:strRef>
              <c:f>[1]CEP13!$ET$14</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[1]CEP13!$EU$12:$EV$12</c:f>
              <c:strCache>
                <c:ptCount val="2"/>
                <c:pt idx="0">
                  <c:v>_x0014_Sí Simpatiza (32.4%)</c:v>
                </c:pt>
                <c:pt idx="1">
                  <c:v>_x0014_No Simpatiza (67.6%)</c:v>
                </c:pt>
              </c:strCache>
            </c:strRef>
          </c:cat>
          <c:val>
            <c:numRef>
              <c:f>[1]CEP13!$EU$14:$EV$14</c:f>
              <c:numCache>
                <c:formatCode>General</c:formatCode>
                <c:ptCount val="2"/>
                <c:pt idx="0">
                  <c:v>22.39130434782609</c:v>
                </c:pt>
                <c:pt idx="1">
                  <c:v>21.01977107180021</c:v>
                </c:pt>
              </c:numCache>
            </c:numRef>
          </c:val>
        </c:ser>
        <c:ser>
          <c:idx val="2"/>
          <c:order val="2"/>
          <c:tx>
            <c:strRef>
              <c:f>[1]CEP13!$ET$15</c:f>
              <c:strCache>
                <c:ptCount val="1"/>
                <c:pt idx="0">
                  <c:v>NS/NR</c:v>
                </c:pt>
              </c:strCache>
            </c:strRef>
          </c:tx>
          <c:invertIfNegative val="0"/>
          <c:dLbls>
            <c:numFmt formatCode="#,##0.0" sourceLinked="0"/>
            <c:showLegendKey val="0"/>
            <c:showVal val="1"/>
            <c:showCatName val="0"/>
            <c:showSerName val="0"/>
            <c:showPercent val="0"/>
            <c:showBubbleSize val="0"/>
            <c:showLeaderLines val="0"/>
          </c:dLbls>
          <c:cat>
            <c:strRef>
              <c:f>[1]CEP13!$EU$12:$EV$12</c:f>
              <c:strCache>
                <c:ptCount val="2"/>
                <c:pt idx="0">
                  <c:v>_x0014_Sí Simpatiza (32.4%)</c:v>
                </c:pt>
                <c:pt idx="1">
                  <c:v>_x0014_No Simpatiza (67.6%)</c:v>
                </c:pt>
              </c:strCache>
            </c:strRef>
          </c:cat>
          <c:val>
            <c:numRef>
              <c:f>[1]CEP13!$EU$15:$EV$15</c:f>
              <c:numCache>
                <c:formatCode>General</c:formatCode>
                <c:ptCount val="2"/>
                <c:pt idx="0">
                  <c:v>22.39130434782609</c:v>
                </c:pt>
                <c:pt idx="1">
                  <c:v>39.02185223725286</c:v>
                </c:pt>
              </c:numCache>
            </c:numRef>
          </c:val>
        </c:ser>
        <c:dLbls>
          <c:showLegendKey val="0"/>
          <c:showVal val="1"/>
          <c:showCatName val="0"/>
          <c:showSerName val="0"/>
          <c:showPercent val="0"/>
          <c:showBubbleSize val="0"/>
        </c:dLbls>
        <c:gapWidth val="75"/>
        <c:axId val="1566800936"/>
        <c:axId val="1566794088"/>
      </c:barChart>
      <c:catAx>
        <c:axId val="1566800936"/>
        <c:scaling>
          <c:orientation val="minMax"/>
        </c:scaling>
        <c:delete val="0"/>
        <c:axPos val="b"/>
        <c:majorTickMark val="none"/>
        <c:minorTickMark val="none"/>
        <c:tickLblPos val="nextTo"/>
        <c:crossAx val="1566794088"/>
        <c:crosses val="autoZero"/>
        <c:auto val="1"/>
        <c:lblAlgn val="ctr"/>
        <c:lblOffset val="100"/>
        <c:noMultiLvlLbl val="0"/>
      </c:catAx>
      <c:valAx>
        <c:axId val="1566794088"/>
        <c:scaling>
          <c:orientation val="minMax"/>
          <c:max val="100.0"/>
        </c:scaling>
        <c:delete val="0"/>
        <c:axPos val="l"/>
        <c:numFmt formatCode="General" sourceLinked="1"/>
        <c:majorTickMark val="none"/>
        <c:minorTickMark val="none"/>
        <c:tickLblPos val="nextTo"/>
        <c:crossAx val="1566800936"/>
        <c:crosses val="autoZero"/>
        <c:crossBetween val="between"/>
      </c:valAx>
    </c:plotArea>
    <c:legend>
      <c:legendPos val="b"/>
      <c:layout>
        <c:manualLayout>
          <c:xMode val="edge"/>
          <c:yMode val="edge"/>
          <c:x val="0.274409667541557"/>
          <c:y val="0.845425478839938"/>
          <c:w val="0.567847112860893"/>
          <c:h val="0.0664202511876098"/>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7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976344517444874"/>
          <c:y val="0.178405239355442"/>
          <c:w val="0.879010983499674"/>
          <c:h val="0.587437847486068"/>
        </c:manualLayout>
      </c:layout>
      <c:barChart>
        <c:barDir val="col"/>
        <c:grouping val="clustered"/>
        <c:varyColors val="0"/>
        <c:ser>
          <c:idx val="0"/>
          <c:order val="0"/>
          <c:tx>
            <c:strRef>
              <c:f>'CEP2'!$AV$3</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'CEP2'!$AW$2:$AX$2</c:f>
              <c:strCache>
                <c:ptCount val="2"/>
                <c:pt idx="0">
                  <c:v>Sí Votó (62.5%)</c:v>
                </c:pt>
                <c:pt idx="1">
                  <c:v>No Votó (37.5%)</c:v>
                </c:pt>
              </c:strCache>
            </c:strRef>
          </c:cat>
          <c:val>
            <c:numRef>
              <c:f>'CEP2'!$AW$3:$AX$3</c:f>
              <c:numCache>
                <c:formatCode>0.00</c:formatCode>
                <c:ptCount val="2"/>
                <c:pt idx="0">
                  <c:v>44.01805869074492</c:v>
                </c:pt>
                <c:pt idx="1">
                  <c:v>46.05263157894737</c:v>
                </c:pt>
              </c:numCache>
            </c:numRef>
          </c:val>
        </c:ser>
        <c:ser>
          <c:idx val="1"/>
          <c:order val="1"/>
          <c:tx>
            <c:strRef>
              <c:f>'CEP2'!$AV$4</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'CEP2'!$AW$2:$AX$2</c:f>
              <c:strCache>
                <c:ptCount val="2"/>
                <c:pt idx="0">
                  <c:v>Sí Votó (62.5%)</c:v>
                </c:pt>
                <c:pt idx="1">
                  <c:v>No Votó (37.5%)</c:v>
                </c:pt>
              </c:strCache>
            </c:strRef>
          </c:cat>
          <c:val>
            <c:numRef>
              <c:f>'CEP2'!$AW$4:$AX$4</c:f>
              <c:numCache>
                <c:formatCode>0.00</c:formatCode>
                <c:ptCount val="2"/>
                <c:pt idx="0">
                  <c:v>25.62076749435666</c:v>
                </c:pt>
                <c:pt idx="1">
                  <c:v>14.47368421052631</c:v>
                </c:pt>
              </c:numCache>
            </c:numRef>
          </c:val>
        </c:ser>
        <c:ser>
          <c:idx val="2"/>
          <c:order val="2"/>
          <c:tx>
            <c:strRef>
              <c:f>'CEP2'!$AV$5</c:f>
              <c:strCache>
                <c:ptCount val="1"/>
                <c:pt idx="0">
                  <c:v>NS/NR</c:v>
                </c:pt>
              </c:strCache>
            </c:strRef>
          </c:tx>
          <c:invertIfNegative val="0"/>
          <c:dLbls>
            <c:numFmt formatCode="#,##0.0" sourceLinked="0"/>
            <c:showLegendKey val="0"/>
            <c:showVal val="1"/>
            <c:showCatName val="0"/>
            <c:showSerName val="0"/>
            <c:showPercent val="0"/>
            <c:showBubbleSize val="0"/>
            <c:showLeaderLines val="0"/>
          </c:dLbls>
          <c:cat>
            <c:strRef>
              <c:f>'CEP2'!$AW$2:$AX$2</c:f>
              <c:strCache>
                <c:ptCount val="2"/>
                <c:pt idx="0">
                  <c:v>Sí Votó (62.5%)</c:v>
                </c:pt>
                <c:pt idx="1">
                  <c:v>No Votó (37.5%)</c:v>
                </c:pt>
              </c:strCache>
            </c:strRef>
          </c:cat>
          <c:val>
            <c:numRef>
              <c:f>'CEP2'!$AW$5:$AX$5</c:f>
              <c:numCache>
                <c:formatCode>0.00</c:formatCode>
                <c:ptCount val="2"/>
                <c:pt idx="0">
                  <c:v>30.36117381489842</c:v>
                </c:pt>
                <c:pt idx="1">
                  <c:v>39.47368421052632</c:v>
                </c:pt>
              </c:numCache>
            </c:numRef>
          </c:val>
        </c:ser>
        <c:dLbls>
          <c:showLegendKey val="0"/>
          <c:showVal val="1"/>
          <c:showCatName val="0"/>
          <c:showSerName val="0"/>
          <c:showPercent val="0"/>
          <c:showBubbleSize val="0"/>
        </c:dLbls>
        <c:gapWidth val="75"/>
        <c:axId val="1566732472"/>
        <c:axId val="1566726072"/>
      </c:barChart>
      <c:catAx>
        <c:axId val="1566732472"/>
        <c:scaling>
          <c:orientation val="minMax"/>
        </c:scaling>
        <c:delete val="0"/>
        <c:axPos val="b"/>
        <c:majorTickMark val="none"/>
        <c:minorTickMark val="none"/>
        <c:tickLblPos val="nextTo"/>
        <c:crossAx val="1566726072"/>
        <c:crosses val="autoZero"/>
        <c:auto val="1"/>
        <c:lblAlgn val="ctr"/>
        <c:lblOffset val="100"/>
        <c:noMultiLvlLbl val="0"/>
      </c:catAx>
      <c:valAx>
        <c:axId val="1566726072"/>
        <c:scaling>
          <c:orientation val="minMax"/>
          <c:max val="100.0"/>
        </c:scaling>
        <c:delete val="0"/>
        <c:axPos val="l"/>
        <c:numFmt formatCode="General" sourceLinked="0"/>
        <c:majorTickMark val="none"/>
        <c:minorTickMark val="none"/>
        <c:tickLblPos val="nextTo"/>
        <c:crossAx val="1566732472"/>
        <c:crosses val="autoZero"/>
        <c:crossBetween val="between"/>
      </c:valAx>
    </c:plotArea>
    <c:legend>
      <c:legendPos val="b"/>
      <c:layout>
        <c:manualLayout>
          <c:xMode val="edge"/>
          <c:yMode val="edge"/>
          <c:x val="0.32969741043516"/>
          <c:y val="0.866173729746589"/>
          <c:w val="0.434023270976478"/>
          <c:h val="0.067066891962533"/>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charts/chart7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0992833106638215"/>
          <c:y val="0.169218275387636"/>
          <c:w val="0.877473160545899"/>
          <c:h val="0.584701888675861"/>
        </c:manualLayout>
      </c:layout>
      <c:barChart>
        <c:barDir val="col"/>
        <c:grouping val="clustered"/>
        <c:varyColors val="0"/>
        <c:ser>
          <c:idx val="0"/>
          <c:order val="0"/>
          <c:tx>
            <c:strRef>
              <c:f>'CEP2'!$BD$3</c:f>
              <c:strCache>
                <c:ptCount val="1"/>
                <c:pt idx="0">
                  <c:v>De Acuerdo</c:v>
                </c:pt>
              </c:strCache>
            </c:strRef>
          </c:tx>
          <c:invertIfNegative val="0"/>
          <c:dLbls>
            <c:numFmt formatCode="#,##0.0" sourceLinked="0"/>
            <c:showLegendKey val="0"/>
            <c:showVal val="1"/>
            <c:showCatName val="0"/>
            <c:showSerName val="0"/>
            <c:showPercent val="0"/>
            <c:showBubbleSize val="0"/>
            <c:showLeaderLines val="0"/>
          </c:dLbls>
          <c:cat>
            <c:strRef>
              <c:f>'CEP2'!$BE$2:$BG$2</c:f>
              <c:strCache>
                <c:ptCount val="3"/>
                <c:pt idx="0">
                  <c:v>Con seguridad sí votará (51.2%)</c:v>
                </c:pt>
                <c:pt idx="1">
                  <c:v>Inseguro (33.4%)</c:v>
                </c:pt>
                <c:pt idx="2">
                  <c:v>Con seguridad no votará (15.4%)</c:v>
                </c:pt>
              </c:strCache>
            </c:strRef>
          </c:cat>
          <c:val>
            <c:numRef>
              <c:f>'CEP2'!$BE$3:$BG$3</c:f>
              <c:numCache>
                <c:formatCode>0.00</c:formatCode>
                <c:ptCount val="3"/>
                <c:pt idx="0">
                  <c:v>49.15966386554622</c:v>
                </c:pt>
                <c:pt idx="1">
                  <c:v>42.91845493562231</c:v>
                </c:pt>
                <c:pt idx="2">
                  <c:v>34.88372093023256</c:v>
                </c:pt>
              </c:numCache>
            </c:numRef>
          </c:val>
        </c:ser>
        <c:ser>
          <c:idx val="1"/>
          <c:order val="1"/>
          <c:tx>
            <c:strRef>
              <c:f>'CEP2'!$BD$4</c:f>
              <c:strCache>
                <c:ptCount val="1"/>
                <c:pt idx="0">
                  <c:v>En  Desacuerdo</c:v>
                </c:pt>
              </c:strCache>
            </c:strRef>
          </c:tx>
          <c:invertIfNegative val="0"/>
          <c:dLbls>
            <c:numFmt formatCode="#,##0.0" sourceLinked="0"/>
            <c:showLegendKey val="0"/>
            <c:showVal val="1"/>
            <c:showCatName val="0"/>
            <c:showSerName val="0"/>
            <c:showPercent val="0"/>
            <c:showBubbleSize val="0"/>
            <c:showLeaderLines val="0"/>
          </c:dLbls>
          <c:cat>
            <c:strRef>
              <c:f>'CEP2'!$BE$2:$BG$2</c:f>
              <c:strCache>
                <c:ptCount val="3"/>
                <c:pt idx="0">
                  <c:v>Con seguridad sí votará (51.2%)</c:v>
                </c:pt>
                <c:pt idx="1">
                  <c:v>Inseguro (33.4%)</c:v>
                </c:pt>
                <c:pt idx="2">
                  <c:v>Con seguridad no votará (15.4%)</c:v>
                </c:pt>
              </c:strCache>
            </c:strRef>
          </c:cat>
          <c:val>
            <c:numRef>
              <c:f>'CEP2'!$BE$4:$BG$4</c:f>
              <c:numCache>
                <c:formatCode>0.00</c:formatCode>
                <c:ptCount val="3"/>
                <c:pt idx="0">
                  <c:v>21.84873949579832</c:v>
                </c:pt>
                <c:pt idx="1">
                  <c:v>23.81974248927039</c:v>
                </c:pt>
                <c:pt idx="2">
                  <c:v>16.27906976744186</c:v>
                </c:pt>
              </c:numCache>
            </c:numRef>
          </c:val>
        </c:ser>
        <c:ser>
          <c:idx val="2"/>
          <c:order val="2"/>
          <c:tx>
            <c:strRef>
              <c:f>'CEP2'!$BD$5</c:f>
              <c:strCache>
                <c:ptCount val="1"/>
                <c:pt idx="0">
                  <c:v>NS/NR</c:v>
                </c:pt>
              </c:strCache>
            </c:strRef>
          </c:tx>
          <c:invertIfNegative val="0"/>
          <c:dLbls>
            <c:numFmt formatCode="#,##0.0" sourceLinked="0"/>
            <c:showLegendKey val="0"/>
            <c:showVal val="1"/>
            <c:showCatName val="0"/>
            <c:showSerName val="0"/>
            <c:showPercent val="0"/>
            <c:showBubbleSize val="0"/>
            <c:showLeaderLines val="0"/>
          </c:dLbls>
          <c:cat>
            <c:strRef>
              <c:f>'CEP2'!$BE$2:$BG$2</c:f>
              <c:strCache>
                <c:ptCount val="3"/>
                <c:pt idx="0">
                  <c:v>Con seguridad sí votará (51.2%)</c:v>
                </c:pt>
                <c:pt idx="1">
                  <c:v>Inseguro (33.4%)</c:v>
                </c:pt>
                <c:pt idx="2">
                  <c:v>Con seguridad no votará (15.4%)</c:v>
                </c:pt>
              </c:strCache>
            </c:strRef>
          </c:cat>
          <c:val>
            <c:numRef>
              <c:f>'CEP2'!$BE$5:$BG$5</c:f>
              <c:numCache>
                <c:formatCode>0.00</c:formatCode>
                <c:ptCount val="3"/>
                <c:pt idx="0">
                  <c:v>28.99159663865546</c:v>
                </c:pt>
                <c:pt idx="1">
                  <c:v>33.2618025751073</c:v>
                </c:pt>
                <c:pt idx="2">
                  <c:v>48.83720930232558</c:v>
                </c:pt>
              </c:numCache>
            </c:numRef>
          </c:val>
        </c:ser>
        <c:dLbls>
          <c:showLegendKey val="0"/>
          <c:showVal val="1"/>
          <c:showCatName val="0"/>
          <c:showSerName val="0"/>
          <c:showPercent val="0"/>
          <c:showBubbleSize val="0"/>
        </c:dLbls>
        <c:gapWidth val="75"/>
        <c:axId val="1566619672"/>
        <c:axId val="1566616600"/>
      </c:barChart>
      <c:catAx>
        <c:axId val="1566619672"/>
        <c:scaling>
          <c:orientation val="minMax"/>
        </c:scaling>
        <c:delete val="0"/>
        <c:axPos val="b"/>
        <c:majorTickMark val="none"/>
        <c:minorTickMark val="none"/>
        <c:tickLblPos val="nextTo"/>
        <c:crossAx val="1566616600"/>
        <c:crosses val="autoZero"/>
        <c:auto val="1"/>
        <c:lblAlgn val="ctr"/>
        <c:lblOffset val="100"/>
        <c:noMultiLvlLbl val="0"/>
      </c:catAx>
      <c:valAx>
        <c:axId val="1566616600"/>
        <c:scaling>
          <c:orientation val="minMax"/>
          <c:max val="100.0"/>
        </c:scaling>
        <c:delete val="0"/>
        <c:axPos val="l"/>
        <c:numFmt formatCode="General" sourceLinked="0"/>
        <c:majorTickMark val="none"/>
        <c:minorTickMark val="none"/>
        <c:tickLblPos val="nextTo"/>
        <c:crossAx val="1566619672"/>
        <c:crosses val="autoZero"/>
        <c:crossBetween val="between"/>
      </c:valAx>
    </c:plotArea>
    <c:legend>
      <c:legendPos val="b"/>
      <c:layout>
        <c:manualLayout>
          <c:xMode val="edge"/>
          <c:yMode val="edge"/>
          <c:x val="0.313602788557928"/>
          <c:y val="0.865389321491823"/>
          <c:w val="0.431959768895766"/>
          <c:h val="0.0693828706157034"/>
        </c:manualLayout>
      </c:layout>
      <c:overlay val="0"/>
      <c:spPr>
        <a:ln>
          <a:solidFill>
            <a:schemeClr val="tx1"/>
          </a:solidFill>
        </a:ln>
      </c:spPr>
    </c:legend>
    <c:plotVisOnly val="1"/>
    <c:dispBlanksAs val="gap"/>
    <c:showDLblsOverMax val="0"/>
  </c:chart>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s>
</file>

<file path=xl/drawings/_rels/drawing9.xml.rels><?xml version="1.0" encoding="UTF-8" standalone="yes"?>
<Relationships xmlns="http://schemas.openxmlformats.org/package/2006/relationships"><Relationship Id="rId9" Type="http://schemas.openxmlformats.org/officeDocument/2006/relationships/chart" Target="../charts/chart14.xml"/><Relationship Id="rId20" Type="http://schemas.openxmlformats.org/officeDocument/2006/relationships/chart" Target="../charts/chart25.xml"/><Relationship Id="rId21" Type="http://schemas.openxmlformats.org/officeDocument/2006/relationships/chart" Target="../charts/chart26.xml"/><Relationship Id="rId22" Type="http://schemas.openxmlformats.org/officeDocument/2006/relationships/chart" Target="../charts/chart27.xml"/><Relationship Id="rId10" Type="http://schemas.openxmlformats.org/officeDocument/2006/relationships/chart" Target="../charts/chart15.xml"/><Relationship Id="rId11" Type="http://schemas.openxmlformats.org/officeDocument/2006/relationships/chart" Target="../charts/chart16.xml"/><Relationship Id="rId12" Type="http://schemas.openxmlformats.org/officeDocument/2006/relationships/chart" Target="../charts/chart17.xml"/><Relationship Id="rId13" Type="http://schemas.openxmlformats.org/officeDocument/2006/relationships/chart" Target="../charts/chart18.xml"/><Relationship Id="rId14" Type="http://schemas.openxmlformats.org/officeDocument/2006/relationships/chart" Target="../charts/chart19.xml"/><Relationship Id="rId15" Type="http://schemas.openxmlformats.org/officeDocument/2006/relationships/chart" Target="../charts/chart20.xml"/><Relationship Id="rId16" Type="http://schemas.openxmlformats.org/officeDocument/2006/relationships/chart" Target="../charts/chart21.xml"/><Relationship Id="rId17" Type="http://schemas.openxmlformats.org/officeDocument/2006/relationships/chart" Target="../charts/chart22.xml"/><Relationship Id="rId18" Type="http://schemas.openxmlformats.org/officeDocument/2006/relationships/chart" Target="../charts/chart23.xml"/><Relationship Id="rId19" Type="http://schemas.openxmlformats.org/officeDocument/2006/relationships/chart" Target="../charts/chart24.xml"/><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 Id="rId6" Type="http://schemas.openxmlformats.org/officeDocument/2006/relationships/chart" Target="../charts/chart11.xml"/><Relationship Id="rId7" Type="http://schemas.openxmlformats.org/officeDocument/2006/relationships/chart" Target="../charts/chart12.xml"/><Relationship Id="rId8" Type="http://schemas.openxmlformats.org/officeDocument/2006/relationships/chart" Target="../charts/chart13.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34.xml.rels><?xml version="1.0" encoding="UTF-8" standalone="yes"?>
<Relationships xmlns="http://schemas.openxmlformats.org/package/2006/relationships"><Relationship Id="rId11" Type="http://schemas.openxmlformats.org/officeDocument/2006/relationships/chart" Target="../charts/chart38.xml"/><Relationship Id="rId12" Type="http://schemas.openxmlformats.org/officeDocument/2006/relationships/chart" Target="../charts/chart39.xml"/><Relationship Id="rId13" Type="http://schemas.openxmlformats.org/officeDocument/2006/relationships/chart" Target="../charts/chart40.xml"/><Relationship Id="rId14" Type="http://schemas.openxmlformats.org/officeDocument/2006/relationships/chart" Target="../charts/chart41.xml"/><Relationship Id="rId1" Type="http://schemas.openxmlformats.org/officeDocument/2006/relationships/chart" Target="../charts/chart28.xml"/><Relationship Id="rId2" Type="http://schemas.openxmlformats.org/officeDocument/2006/relationships/chart" Target="../charts/chart29.xml"/><Relationship Id="rId3" Type="http://schemas.openxmlformats.org/officeDocument/2006/relationships/chart" Target="../charts/chart30.xml"/><Relationship Id="rId4" Type="http://schemas.openxmlformats.org/officeDocument/2006/relationships/chart" Target="../charts/chart31.xml"/><Relationship Id="rId5" Type="http://schemas.openxmlformats.org/officeDocument/2006/relationships/chart" Target="../charts/chart32.xml"/><Relationship Id="rId6" Type="http://schemas.openxmlformats.org/officeDocument/2006/relationships/chart" Target="../charts/chart33.xml"/><Relationship Id="rId7" Type="http://schemas.openxmlformats.org/officeDocument/2006/relationships/chart" Target="../charts/chart34.xml"/><Relationship Id="rId8" Type="http://schemas.openxmlformats.org/officeDocument/2006/relationships/chart" Target="../charts/chart35.xml"/><Relationship Id="rId9" Type="http://schemas.openxmlformats.org/officeDocument/2006/relationships/chart" Target="../charts/chart36.xml"/><Relationship Id="rId10" Type="http://schemas.openxmlformats.org/officeDocument/2006/relationships/chart" Target="../charts/chart37.xml"/></Relationships>
</file>

<file path=xl/drawings/_rels/drawing49.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50.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s>
</file>

<file path=xl/drawings/_rels/drawing51.xml.rels><?xml version="1.0" encoding="UTF-8" standalone="yes"?>
<Relationships xmlns="http://schemas.openxmlformats.org/package/2006/relationships"><Relationship Id="rId9" Type="http://schemas.openxmlformats.org/officeDocument/2006/relationships/chart" Target="../charts/chart50.xml"/><Relationship Id="rId20" Type="http://schemas.openxmlformats.org/officeDocument/2006/relationships/chart" Target="../charts/chart61.xml"/><Relationship Id="rId21" Type="http://schemas.openxmlformats.org/officeDocument/2006/relationships/chart" Target="../charts/chart62.xml"/><Relationship Id="rId22" Type="http://schemas.openxmlformats.org/officeDocument/2006/relationships/chart" Target="../charts/chart63.xml"/><Relationship Id="rId10" Type="http://schemas.openxmlformats.org/officeDocument/2006/relationships/chart" Target="../charts/chart51.xml"/><Relationship Id="rId11" Type="http://schemas.openxmlformats.org/officeDocument/2006/relationships/chart" Target="../charts/chart52.xml"/><Relationship Id="rId12" Type="http://schemas.openxmlformats.org/officeDocument/2006/relationships/chart" Target="../charts/chart53.xml"/><Relationship Id="rId13" Type="http://schemas.openxmlformats.org/officeDocument/2006/relationships/chart" Target="../charts/chart54.xml"/><Relationship Id="rId14" Type="http://schemas.openxmlformats.org/officeDocument/2006/relationships/chart" Target="../charts/chart55.xml"/><Relationship Id="rId15" Type="http://schemas.openxmlformats.org/officeDocument/2006/relationships/chart" Target="../charts/chart56.xml"/><Relationship Id="rId16" Type="http://schemas.openxmlformats.org/officeDocument/2006/relationships/chart" Target="../charts/chart57.xml"/><Relationship Id="rId17" Type="http://schemas.openxmlformats.org/officeDocument/2006/relationships/chart" Target="../charts/chart58.xml"/><Relationship Id="rId18" Type="http://schemas.openxmlformats.org/officeDocument/2006/relationships/chart" Target="../charts/chart59.xml"/><Relationship Id="rId19" Type="http://schemas.openxmlformats.org/officeDocument/2006/relationships/chart" Target="../charts/chart60.xml"/><Relationship Id="rId1" Type="http://schemas.openxmlformats.org/officeDocument/2006/relationships/chart" Target="../charts/chart42.xml"/><Relationship Id="rId2" Type="http://schemas.openxmlformats.org/officeDocument/2006/relationships/chart" Target="../charts/chart43.xml"/><Relationship Id="rId3" Type="http://schemas.openxmlformats.org/officeDocument/2006/relationships/chart" Target="../charts/chart44.xml"/><Relationship Id="rId4" Type="http://schemas.openxmlformats.org/officeDocument/2006/relationships/chart" Target="../charts/chart45.xml"/><Relationship Id="rId5" Type="http://schemas.openxmlformats.org/officeDocument/2006/relationships/chart" Target="../charts/chart46.xml"/><Relationship Id="rId6" Type="http://schemas.openxmlformats.org/officeDocument/2006/relationships/chart" Target="../charts/chart47.xml"/><Relationship Id="rId7" Type="http://schemas.openxmlformats.org/officeDocument/2006/relationships/chart" Target="../charts/chart48.xml"/><Relationship Id="rId8" Type="http://schemas.openxmlformats.org/officeDocument/2006/relationships/chart" Target="../charts/chart49.xml"/></Relationships>
</file>

<file path=xl/drawings/_rels/drawing73.xml.rels><?xml version="1.0" encoding="UTF-8" standalone="yes"?>
<Relationships xmlns="http://schemas.openxmlformats.org/package/2006/relationships"><Relationship Id="rId3" Type="http://schemas.openxmlformats.org/officeDocument/2006/relationships/chart" Target="../charts/chart66.xml"/><Relationship Id="rId4" Type="http://schemas.openxmlformats.org/officeDocument/2006/relationships/chart" Target="../charts/chart67.xml"/><Relationship Id="rId5" Type="http://schemas.openxmlformats.org/officeDocument/2006/relationships/chart" Target="../charts/chart68.xml"/><Relationship Id="rId6" Type="http://schemas.openxmlformats.org/officeDocument/2006/relationships/chart" Target="../charts/chart69.xml"/><Relationship Id="rId7" Type="http://schemas.openxmlformats.org/officeDocument/2006/relationships/chart" Target="../charts/chart70.xml"/><Relationship Id="rId8" Type="http://schemas.openxmlformats.org/officeDocument/2006/relationships/chart" Target="../charts/chart71.xml"/><Relationship Id="rId9" Type="http://schemas.openxmlformats.org/officeDocument/2006/relationships/chart" Target="../charts/chart72.xml"/><Relationship Id="rId1" Type="http://schemas.openxmlformats.org/officeDocument/2006/relationships/chart" Target="../charts/chart64.xml"/><Relationship Id="rId2" Type="http://schemas.openxmlformats.org/officeDocument/2006/relationships/chart" Target="../charts/chart65.xml"/></Relationships>
</file>

<file path=xl/drawings/_rels/drawing83.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0</xdr:colOff>
      <xdr:row>12</xdr:row>
      <xdr:rowOff>0</xdr:rowOff>
    </xdr:from>
    <xdr:to>
      <xdr:col>10</xdr:col>
      <xdr:colOff>171449</xdr:colOff>
      <xdr:row>33</xdr:row>
      <xdr:rowOff>76200</xdr:rowOff>
    </xdr:to>
    <xdr:graphicFrame macro="">
      <xdr:nvGraphicFramePr>
        <xdr:cNvPr id="2" name="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0.03117</cdr:x>
      <cdr:y>0.04489</cdr:y>
    </cdr:from>
    <cdr:to>
      <cdr:x>0.09756</cdr:x>
      <cdr:y>0.57855</cdr:y>
    </cdr:to>
    <cdr:sp macro="" textlink="">
      <cdr:nvSpPr>
        <cdr:cNvPr id="2" name="1 CuadroTexto"/>
        <cdr:cNvSpPr txBox="1"/>
      </cdr:nvSpPr>
      <cdr:spPr>
        <a:xfrm xmlns:a="http://schemas.openxmlformats.org/drawingml/2006/main" rot="16200000">
          <a:off x="-566737" y="957262"/>
          <a:ext cx="2038349" cy="4667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a:t>Porcentaje</a:t>
          </a:r>
        </a:p>
      </cdr:txBody>
    </cdr:sp>
  </cdr:relSizeAnchor>
  <cdr:relSizeAnchor xmlns:cdr="http://schemas.openxmlformats.org/drawingml/2006/chartDrawing">
    <cdr:from>
      <cdr:x>0.11789</cdr:x>
      <cdr:y>0.00748</cdr:y>
    </cdr:from>
    <cdr:to>
      <cdr:x>0.97019</cdr:x>
      <cdr:y>0.22943</cdr:y>
    </cdr:to>
    <cdr:sp macro="" textlink="">
      <cdr:nvSpPr>
        <cdr:cNvPr id="3" name="2 CuadroTexto"/>
        <cdr:cNvSpPr txBox="1"/>
      </cdr:nvSpPr>
      <cdr:spPr>
        <a:xfrm xmlns:a="http://schemas.openxmlformats.org/drawingml/2006/main">
          <a:off x="828675" y="28574"/>
          <a:ext cx="5991225" cy="8477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700" b="1"/>
            <a:t>GRÁFICO</a:t>
          </a:r>
          <a:r>
            <a:rPr lang="es-CL" sz="1700" b="1" baseline="0"/>
            <a:t> 1</a:t>
          </a:r>
        </a:p>
        <a:p xmlns:a="http://schemas.openxmlformats.org/drawingml/2006/main">
          <a:r>
            <a:rPr lang="es-CL" sz="1700" b="1" baseline="0"/>
            <a:t>Opinión respecto a la Reforma a la Constitución, 1995-2011</a:t>
          </a:r>
          <a:endParaRPr lang="es-CL" sz="1700" b="1"/>
        </a:p>
      </cdr:txBody>
    </cdr:sp>
  </cdr:relSizeAnchor>
  <cdr:relSizeAnchor xmlns:cdr="http://schemas.openxmlformats.org/drawingml/2006/chartDrawing">
    <cdr:from>
      <cdr:x>0.11111</cdr:x>
      <cdr:y>0.92056</cdr:y>
    </cdr:from>
    <cdr:to>
      <cdr:x>0.53117</cdr:x>
      <cdr:y>1</cdr:y>
    </cdr:to>
    <cdr:sp macro="" textlink="">
      <cdr:nvSpPr>
        <cdr:cNvPr id="4" name="3 CuadroTexto"/>
        <cdr:cNvSpPr txBox="1"/>
      </cdr:nvSpPr>
      <cdr:spPr>
        <a:xfrm xmlns:a="http://schemas.openxmlformats.org/drawingml/2006/main">
          <a:off x="781050" y="3752850"/>
          <a:ext cx="2952750" cy="3238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Fuente:</a:t>
          </a:r>
          <a:r>
            <a:rPr lang="es-CL" sz="1100" b="1" baseline="0"/>
            <a:t> </a:t>
          </a:r>
          <a:r>
            <a:rPr lang="es-CL" sz="1100" b="0" baseline="0"/>
            <a:t>CERC, 1995-2011.</a:t>
          </a:r>
          <a:endParaRPr lang="es-CL" sz="1100" b="0"/>
        </a:p>
      </cdr:txBody>
    </cdr:sp>
  </cdr:relSizeAnchor>
</c:userShapes>
</file>

<file path=xl/drawings/drawing3.xml><?xml version="1.0" encoding="utf-8"?>
<xdr:wsDr xmlns:xdr="http://schemas.openxmlformats.org/drawingml/2006/spreadsheetDrawing" xmlns:a="http://schemas.openxmlformats.org/drawingml/2006/main">
  <xdr:twoCellAnchor>
    <xdr:from>
      <xdr:col>9</xdr:col>
      <xdr:colOff>0</xdr:colOff>
      <xdr:row>9</xdr:row>
      <xdr:rowOff>9525</xdr:rowOff>
    </xdr:from>
    <xdr:to>
      <xdr:col>17</xdr:col>
      <xdr:colOff>104775</xdr:colOff>
      <xdr:row>31</xdr:row>
      <xdr:rowOff>71439</xdr:rowOff>
    </xdr:to>
    <xdr:graphicFrame macro="">
      <xdr:nvGraphicFramePr>
        <xdr:cNvPr id="2" name="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0.01306</cdr:x>
      <cdr:y>0.29674</cdr:y>
    </cdr:from>
    <cdr:to>
      <cdr:x>0.08218</cdr:x>
      <cdr:y>0.73583</cdr:y>
    </cdr:to>
    <cdr:sp macro="" textlink="">
      <cdr:nvSpPr>
        <cdr:cNvPr id="2" name="1 CuadroTexto"/>
        <cdr:cNvSpPr txBox="1"/>
      </cdr:nvSpPr>
      <cdr:spPr>
        <a:xfrm xmlns:a="http://schemas.openxmlformats.org/drawingml/2006/main" rot="16200000">
          <a:off x="-571498" y="1824039"/>
          <a:ext cx="1733550" cy="428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a:t>Porcentaje</a:t>
          </a:r>
          <a:r>
            <a:rPr lang="es-CL" sz="1100" baseline="0"/>
            <a:t> de Menciones</a:t>
          </a:r>
          <a:endParaRPr lang="es-CL" sz="1100"/>
        </a:p>
      </cdr:txBody>
    </cdr:sp>
  </cdr:relSizeAnchor>
  <cdr:relSizeAnchor xmlns:cdr="http://schemas.openxmlformats.org/drawingml/2006/chartDrawing">
    <cdr:from>
      <cdr:x>0.23502</cdr:x>
      <cdr:y>0.93505</cdr:y>
    </cdr:from>
    <cdr:to>
      <cdr:x>0.76651</cdr:x>
      <cdr:y>0.97984</cdr:y>
    </cdr:to>
    <cdr:sp macro="" textlink="">
      <cdr:nvSpPr>
        <cdr:cNvPr id="3" name="2 CuadroTexto"/>
        <cdr:cNvSpPr txBox="1"/>
      </cdr:nvSpPr>
      <cdr:spPr>
        <a:xfrm xmlns:a="http://schemas.openxmlformats.org/drawingml/2006/main">
          <a:off x="1457326" y="3976689"/>
          <a:ext cx="329565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a:t>Fuente: CEP,</a:t>
          </a:r>
          <a:r>
            <a:rPr lang="es-CL" sz="1100" baseline="0"/>
            <a:t> 1996-2005</a:t>
          </a:r>
          <a:endParaRPr lang="es-CL" sz="1100"/>
        </a:p>
      </cdr:txBody>
    </cdr:sp>
  </cdr:relSizeAnchor>
  <cdr:relSizeAnchor xmlns:cdr="http://schemas.openxmlformats.org/drawingml/2006/chartDrawing">
    <cdr:from>
      <cdr:x>0.1106</cdr:x>
      <cdr:y>0.03248</cdr:y>
    </cdr:from>
    <cdr:to>
      <cdr:x>0.93241</cdr:x>
      <cdr:y>0.19597</cdr:y>
    </cdr:to>
    <cdr:sp macro="" textlink="">
      <cdr:nvSpPr>
        <cdr:cNvPr id="4" name="3 CuadroTexto"/>
        <cdr:cNvSpPr txBox="1"/>
      </cdr:nvSpPr>
      <cdr:spPr>
        <a:xfrm xmlns:a="http://schemas.openxmlformats.org/drawingml/2006/main">
          <a:off x="685800" y="138114"/>
          <a:ext cx="5095876" cy="6953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700" b="1"/>
            <a:t>GRÁFICO</a:t>
          </a:r>
          <a:r>
            <a:rPr lang="es-CL" sz="1700" b="1" baseline="0"/>
            <a:t> 2: Principales Problemas a los que el Gobierno debería dedicar mayor esfuerzo, 1996-2005</a:t>
          </a:r>
          <a:endParaRPr lang="es-CL" sz="1700" b="1"/>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190500</xdr:colOff>
      <xdr:row>24</xdr:row>
      <xdr:rowOff>0</xdr:rowOff>
    </xdr:from>
    <xdr:to>
      <xdr:col>8</xdr:col>
      <xdr:colOff>0</xdr:colOff>
      <xdr:row>43</xdr:row>
      <xdr:rowOff>38100</xdr:rowOff>
    </xdr:to>
    <xdr:graphicFrame macro="">
      <xdr:nvGraphicFramePr>
        <xdr:cNvPr id="2" name="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24</xdr:row>
      <xdr:rowOff>0</xdr:rowOff>
    </xdr:from>
    <xdr:to>
      <xdr:col>17</xdr:col>
      <xdr:colOff>638175</xdr:colOff>
      <xdr:row>45</xdr:row>
      <xdr:rowOff>28575</xdr:rowOff>
    </xdr:to>
    <xdr:graphicFrame macro="">
      <xdr:nvGraphicFramePr>
        <xdr:cNvPr id="3"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24</xdr:row>
      <xdr:rowOff>0</xdr:rowOff>
    </xdr:from>
    <xdr:to>
      <xdr:col>26</xdr:col>
      <xdr:colOff>666750</xdr:colOff>
      <xdr:row>45</xdr:row>
      <xdr:rowOff>38100</xdr:rowOff>
    </xdr:to>
    <xdr:graphicFrame macro="">
      <xdr:nvGraphicFramePr>
        <xdr:cNvPr id="4" name="3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0.10484</cdr:x>
      <cdr:y>0.00232</cdr:y>
    </cdr:from>
    <cdr:to>
      <cdr:x>0.9871</cdr:x>
      <cdr:y>0.27787</cdr:y>
    </cdr:to>
    <cdr:sp macro="" textlink="">
      <cdr:nvSpPr>
        <cdr:cNvPr id="2" name="1 CuadroTexto"/>
        <cdr:cNvSpPr txBox="1"/>
      </cdr:nvSpPr>
      <cdr:spPr>
        <a:xfrm xmlns:a="http://schemas.openxmlformats.org/drawingml/2006/main">
          <a:off x="619125" y="8453"/>
          <a:ext cx="5210175" cy="10052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200" b="1"/>
            <a:t>GRÁFICO 3</a:t>
          </a:r>
        </a:p>
        <a:p xmlns:a="http://schemas.openxmlformats.org/drawingml/2006/main">
          <a:r>
            <a:rPr lang="es-CL" sz="1200"/>
            <a:t>¿Qué</a:t>
          </a:r>
          <a:r>
            <a:rPr lang="es-CL" sz="1200" baseline="0"/>
            <a:t> deberían hacer las autoridades para resolver cómo aprobar una Nueva Constitución?</a:t>
          </a:r>
          <a:endParaRPr lang="es-CL" sz="1200"/>
        </a:p>
        <a:p xmlns:a="http://schemas.openxmlformats.org/drawingml/2006/main">
          <a:endParaRPr lang="es-CL" sz="1100"/>
        </a:p>
      </cdr:txBody>
    </cdr:sp>
  </cdr:relSizeAnchor>
  <cdr:relSizeAnchor xmlns:cdr="http://schemas.openxmlformats.org/drawingml/2006/chartDrawing">
    <cdr:from>
      <cdr:x>0.09032</cdr:x>
      <cdr:y>0.9295</cdr:y>
    </cdr:from>
    <cdr:to>
      <cdr:x>0.81613</cdr:x>
      <cdr:y>1</cdr:y>
    </cdr:to>
    <cdr:sp macro="" textlink="">
      <cdr:nvSpPr>
        <cdr:cNvPr id="3" name="2 CuadroTexto"/>
        <cdr:cNvSpPr txBox="1"/>
      </cdr:nvSpPr>
      <cdr:spPr>
        <a:xfrm xmlns:a="http://schemas.openxmlformats.org/drawingml/2006/main">
          <a:off x="533400" y="3390900"/>
          <a:ext cx="4286250"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Fuente: </a:t>
          </a:r>
          <a:r>
            <a:rPr lang="es-CL" sz="1100" b="0"/>
            <a:t>Encuesta</a:t>
          </a:r>
          <a:r>
            <a:rPr lang="es-CL" sz="1100" b="0" baseline="0"/>
            <a:t> Nacional de Opinión Pública UDP, 2009. </a:t>
          </a:r>
          <a:endParaRPr lang="es-CL" sz="1100" b="1"/>
        </a:p>
      </cdr:txBody>
    </cdr:sp>
  </cdr:relSizeAnchor>
  <cdr:relSizeAnchor xmlns:cdr="http://schemas.openxmlformats.org/drawingml/2006/chartDrawing">
    <cdr:from>
      <cdr:x>0.02419</cdr:x>
      <cdr:y>0.32637</cdr:y>
    </cdr:from>
    <cdr:to>
      <cdr:x>0.12258</cdr:x>
      <cdr:y>0.57963</cdr:y>
    </cdr:to>
    <cdr:sp macro="" textlink="">
      <cdr:nvSpPr>
        <cdr:cNvPr id="4" name="3 CuadroTexto"/>
        <cdr:cNvSpPr txBox="1"/>
      </cdr:nvSpPr>
      <cdr:spPr>
        <a:xfrm xmlns:a="http://schemas.openxmlformats.org/drawingml/2006/main" rot="16200000">
          <a:off x="-28575" y="1362074"/>
          <a:ext cx="923925" cy="581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a:t>Porcentaje</a:t>
          </a:r>
        </a:p>
      </cdr:txBody>
    </cdr:sp>
  </cdr:relSizeAnchor>
</c:userShapes>
</file>

<file path=xl/drawings/drawing7.xml><?xml version="1.0" encoding="utf-8"?>
<c:userShapes xmlns:c="http://schemas.openxmlformats.org/drawingml/2006/chart">
  <cdr:relSizeAnchor xmlns:cdr="http://schemas.openxmlformats.org/drawingml/2006/chartDrawing">
    <cdr:from>
      <cdr:x>0.11598</cdr:x>
      <cdr:y>0</cdr:y>
    </cdr:from>
    <cdr:to>
      <cdr:x>0.93211</cdr:x>
      <cdr:y>0.2585</cdr:y>
    </cdr:to>
    <cdr:sp macro="" textlink="">
      <cdr:nvSpPr>
        <cdr:cNvPr id="2" name="1 CuadroTexto"/>
        <cdr:cNvSpPr txBox="1"/>
      </cdr:nvSpPr>
      <cdr:spPr>
        <a:xfrm xmlns:a="http://schemas.openxmlformats.org/drawingml/2006/main">
          <a:off x="781050" y="0"/>
          <a:ext cx="5495925" cy="9048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rtl="0" eaLnBrk="1" fontAlgn="auto" latinLnBrk="0" hangingPunct="1"/>
          <a:r>
            <a:rPr lang="es-CL" sz="1100" b="1" i="0" baseline="0">
              <a:effectLst/>
              <a:latin typeface="+mn-lt"/>
              <a:ea typeface="+mn-ea"/>
              <a:cs typeface="+mn-cs"/>
            </a:rPr>
            <a:t>GRÁFICO 4</a:t>
          </a:r>
          <a:endParaRPr lang="es-CL">
            <a:effectLst/>
          </a:endParaRPr>
        </a:p>
        <a:p xmlns:a="http://schemas.openxmlformats.org/drawingml/2006/main">
          <a:pPr rtl="0" eaLnBrk="1" fontAlgn="auto" latinLnBrk="0" hangingPunct="1"/>
          <a:r>
            <a:rPr lang="es-CL" sz="1100" b="0" i="0" baseline="0">
              <a:effectLst/>
              <a:latin typeface="+mn-lt"/>
              <a:ea typeface="+mn-ea"/>
              <a:cs typeface="+mn-cs"/>
            </a:rPr>
            <a:t>¿Qué deberían hacer las autoridades para resolver cómo aprobar una Nueva Constitución? Según Nivel Educacional Alcanzado</a:t>
          </a:r>
          <a:endParaRPr lang="es-CL">
            <a:effectLst/>
          </a:endParaRPr>
        </a:p>
        <a:p xmlns:a="http://schemas.openxmlformats.org/drawingml/2006/main">
          <a:endParaRPr lang="es-CL" sz="1100"/>
        </a:p>
      </cdr:txBody>
    </cdr:sp>
  </cdr:relSizeAnchor>
  <cdr:relSizeAnchor xmlns:cdr="http://schemas.openxmlformats.org/drawingml/2006/chartDrawing">
    <cdr:from>
      <cdr:x>0.07779</cdr:x>
      <cdr:y>0.91787</cdr:y>
    </cdr:from>
    <cdr:to>
      <cdr:x>0.59264</cdr:x>
      <cdr:y>0.99034</cdr:y>
    </cdr:to>
    <cdr:sp macro="" textlink="">
      <cdr:nvSpPr>
        <cdr:cNvPr id="3" name="2 CuadroTexto"/>
        <cdr:cNvSpPr txBox="1"/>
      </cdr:nvSpPr>
      <cdr:spPr>
        <a:xfrm xmlns:a="http://schemas.openxmlformats.org/drawingml/2006/main">
          <a:off x="523875" y="3619501"/>
          <a:ext cx="346710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Fuente:</a:t>
          </a:r>
          <a:r>
            <a:rPr lang="es-CL" sz="1100" b="0"/>
            <a:t> Encuesta Nacional de Opinión Pública UDP, 2009.</a:t>
          </a:r>
          <a:endParaRPr lang="es-CL" sz="1100" b="1"/>
        </a:p>
      </cdr:txBody>
    </cdr:sp>
  </cdr:relSizeAnchor>
</c:userShapes>
</file>

<file path=xl/drawings/drawing8.xml><?xml version="1.0" encoding="utf-8"?>
<c:userShapes xmlns:c="http://schemas.openxmlformats.org/drawingml/2006/chart">
  <cdr:relSizeAnchor xmlns:cdr="http://schemas.openxmlformats.org/drawingml/2006/chartDrawing">
    <cdr:from>
      <cdr:x>0.06825</cdr:x>
      <cdr:y>0.00602</cdr:y>
    </cdr:from>
    <cdr:to>
      <cdr:x>0.96349</cdr:x>
      <cdr:y>0.21654</cdr:y>
    </cdr:to>
    <cdr:sp macro="" textlink="">
      <cdr:nvSpPr>
        <cdr:cNvPr id="2" name="1 CuadroTexto"/>
        <cdr:cNvSpPr txBox="1"/>
      </cdr:nvSpPr>
      <cdr:spPr>
        <a:xfrm xmlns:a="http://schemas.openxmlformats.org/drawingml/2006/main">
          <a:off x="409575" y="19050"/>
          <a:ext cx="5372100" cy="666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GRÁFICO</a:t>
          </a:r>
          <a:r>
            <a:rPr lang="es-CL" sz="1100" b="1" baseline="0"/>
            <a:t> 5</a:t>
          </a:r>
        </a:p>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defRPr/>
          </a:pPr>
          <a:r>
            <a:rPr lang="es-CL" sz="1100" b="0" i="0" baseline="0">
              <a:effectLst/>
              <a:latin typeface="+mn-lt"/>
              <a:ea typeface="+mn-ea"/>
              <a:cs typeface="+mn-cs"/>
            </a:rPr>
            <a:t>¿Qué deberían hacer las autoridades para resolver cómo aprobar una Nueva Constitución? Según Posición Política</a:t>
          </a:r>
          <a:endParaRPr lang="es-CL">
            <a:effectLst/>
          </a:endParaRPr>
        </a:p>
        <a:p xmlns:a="http://schemas.openxmlformats.org/drawingml/2006/main">
          <a:endParaRPr lang="es-CL" sz="1100" b="1"/>
        </a:p>
      </cdr:txBody>
    </cdr:sp>
  </cdr:relSizeAnchor>
  <cdr:relSizeAnchor xmlns:cdr="http://schemas.openxmlformats.org/drawingml/2006/chartDrawing">
    <cdr:from>
      <cdr:x>0.04921</cdr:x>
      <cdr:y>0.91509</cdr:y>
    </cdr:from>
    <cdr:to>
      <cdr:x>0.85873</cdr:x>
      <cdr:y>0.98585</cdr:y>
    </cdr:to>
    <cdr:sp macro="" textlink="">
      <cdr:nvSpPr>
        <cdr:cNvPr id="3" name="2 CuadroTexto"/>
        <cdr:cNvSpPr txBox="1"/>
      </cdr:nvSpPr>
      <cdr:spPr>
        <a:xfrm xmlns:a="http://schemas.openxmlformats.org/drawingml/2006/main">
          <a:off x="295275" y="3695700"/>
          <a:ext cx="48577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Fuente: </a:t>
          </a:r>
          <a:r>
            <a:rPr lang="es-CL" sz="1100" b="0"/>
            <a:t>Encuesta Nacional de Opinión Pública</a:t>
          </a:r>
          <a:r>
            <a:rPr lang="es-CL" sz="1100" b="0" baseline="0"/>
            <a:t> UDP, 2009.</a:t>
          </a:r>
          <a:endParaRPr lang="es-CL" sz="1100" b="1"/>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0</xdr:colOff>
      <xdr:row>11</xdr:row>
      <xdr:rowOff>190500</xdr:rowOff>
    </xdr:from>
    <xdr:to>
      <xdr:col>6</xdr:col>
      <xdr:colOff>761999</xdr:colOff>
      <xdr:row>31</xdr:row>
      <xdr:rowOff>171450</xdr:rowOff>
    </xdr:to>
    <xdr:graphicFrame macro="">
      <xdr:nvGraphicFramePr>
        <xdr:cNvPr id="2" name="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28575</xdr:colOff>
      <xdr:row>11</xdr:row>
      <xdr:rowOff>149087</xdr:rowOff>
    </xdr:from>
    <xdr:to>
      <xdr:col>10</xdr:col>
      <xdr:colOff>1027043</xdr:colOff>
      <xdr:row>32</xdr:row>
      <xdr:rowOff>38100</xdr:rowOff>
    </xdr:to>
    <xdr:graphicFrame macro="">
      <xdr:nvGraphicFramePr>
        <xdr:cNvPr id="3"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28575</xdr:colOff>
      <xdr:row>11</xdr:row>
      <xdr:rowOff>180975</xdr:rowOff>
    </xdr:from>
    <xdr:to>
      <xdr:col>17</xdr:col>
      <xdr:colOff>0</xdr:colOff>
      <xdr:row>32</xdr:row>
      <xdr:rowOff>9525</xdr:rowOff>
    </xdr:to>
    <xdr:graphicFrame macro="">
      <xdr:nvGraphicFramePr>
        <xdr:cNvPr id="4" name="3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42656</xdr:colOff>
      <xdr:row>12</xdr:row>
      <xdr:rowOff>8282</xdr:rowOff>
    </xdr:from>
    <xdr:to>
      <xdr:col>23</xdr:col>
      <xdr:colOff>1</xdr:colOff>
      <xdr:row>31</xdr:row>
      <xdr:rowOff>54457</xdr:rowOff>
    </xdr:to>
    <xdr:graphicFrame macro="">
      <xdr:nvGraphicFramePr>
        <xdr:cNvPr id="5" name="4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9525</xdr:colOff>
      <xdr:row>11</xdr:row>
      <xdr:rowOff>180975</xdr:rowOff>
    </xdr:from>
    <xdr:to>
      <xdr:col>31</xdr:col>
      <xdr:colOff>1076325</xdr:colOff>
      <xdr:row>32</xdr:row>
      <xdr:rowOff>9526</xdr:rowOff>
    </xdr:to>
    <xdr:graphicFrame macro="">
      <xdr:nvGraphicFramePr>
        <xdr:cNvPr id="7" name="6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19050</xdr:colOff>
      <xdr:row>11</xdr:row>
      <xdr:rowOff>171451</xdr:rowOff>
    </xdr:from>
    <xdr:to>
      <xdr:col>45</xdr:col>
      <xdr:colOff>2324100</xdr:colOff>
      <xdr:row>31</xdr:row>
      <xdr:rowOff>114301</xdr:rowOff>
    </xdr:to>
    <xdr:graphicFrame macro="">
      <xdr:nvGraphicFramePr>
        <xdr:cNvPr id="10" name="9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752475</xdr:colOff>
      <xdr:row>12</xdr:row>
      <xdr:rowOff>9524</xdr:rowOff>
    </xdr:from>
    <xdr:to>
      <xdr:col>51</xdr:col>
      <xdr:colOff>0</xdr:colOff>
      <xdr:row>32</xdr:row>
      <xdr:rowOff>138113</xdr:rowOff>
    </xdr:to>
    <xdr:graphicFrame macro="">
      <xdr:nvGraphicFramePr>
        <xdr:cNvPr id="11" name="10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52</xdr:col>
      <xdr:colOff>0</xdr:colOff>
      <xdr:row>12</xdr:row>
      <xdr:rowOff>0</xdr:rowOff>
    </xdr:from>
    <xdr:to>
      <xdr:col>56</xdr:col>
      <xdr:colOff>0</xdr:colOff>
      <xdr:row>33</xdr:row>
      <xdr:rowOff>123825</xdr:rowOff>
    </xdr:to>
    <xdr:graphicFrame macro="">
      <xdr:nvGraphicFramePr>
        <xdr:cNvPr id="12" name="1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61</xdr:col>
      <xdr:colOff>752475</xdr:colOff>
      <xdr:row>11</xdr:row>
      <xdr:rowOff>180975</xdr:rowOff>
    </xdr:from>
    <xdr:to>
      <xdr:col>67</xdr:col>
      <xdr:colOff>0</xdr:colOff>
      <xdr:row>33</xdr:row>
      <xdr:rowOff>133350</xdr:rowOff>
    </xdr:to>
    <xdr:graphicFrame macro="">
      <xdr:nvGraphicFramePr>
        <xdr:cNvPr id="14" name="13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67</xdr:col>
      <xdr:colOff>752475</xdr:colOff>
      <xdr:row>11</xdr:row>
      <xdr:rowOff>161925</xdr:rowOff>
    </xdr:from>
    <xdr:to>
      <xdr:col>70</xdr:col>
      <xdr:colOff>2438400</xdr:colOff>
      <xdr:row>32</xdr:row>
      <xdr:rowOff>95249</xdr:rowOff>
    </xdr:to>
    <xdr:graphicFrame macro="">
      <xdr:nvGraphicFramePr>
        <xdr:cNvPr id="15" name="14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72</xdr:col>
      <xdr:colOff>0</xdr:colOff>
      <xdr:row>11</xdr:row>
      <xdr:rowOff>180975</xdr:rowOff>
    </xdr:from>
    <xdr:to>
      <xdr:col>75</xdr:col>
      <xdr:colOff>0</xdr:colOff>
      <xdr:row>34</xdr:row>
      <xdr:rowOff>23813</xdr:rowOff>
    </xdr:to>
    <xdr:graphicFrame macro="">
      <xdr:nvGraphicFramePr>
        <xdr:cNvPr id="16" name="15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76</xdr:col>
      <xdr:colOff>9525</xdr:colOff>
      <xdr:row>11</xdr:row>
      <xdr:rowOff>171450</xdr:rowOff>
    </xdr:from>
    <xdr:to>
      <xdr:col>79</xdr:col>
      <xdr:colOff>0</xdr:colOff>
      <xdr:row>32</xdr:row>
      <xdr:rowOff>142875</xdr:rowOff>
    </xdr:to>
    <xdr:graphicFrame macro="">
      <xdr:nvGraphicFramePr>
        <xdr:cNvPr id="19" name="18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80</xdr:col>
      <xdr:colOff>24848</xdr:colOff>
      <xdr:row>12</xdr:row>
      <xdr:rowOff>16566</xdr:rowOff>
    </xdr:from>
    <xdr:to>
      <xdr:col>83</xdr:col>
      <xdr:colOff>882098</xdr:colOff>
      <xdr:row>29</xdr:row>
      <xdr:rowOff>91524</xdr:rowOff>
    </xdr:to>
    <xdr:graphicFrame macro="">
      <xdr:nvGraphicFramePr>
        <xdr:cNvPr id="20" name="19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85</xdr:col>
      <xdr:colOff>21121</xdr:colOff>
      <xdr:row>12</xdr:row>
      <xdr:rowOff>2486</xdr:rowOff>
    </xdr:from>
    <xdr:to>
      <xdr:col>88</xdr:col>
      <xdr:colOff>49696</xdr:colOff>
      <xdr:row>29</xdr:row>
      <xdr:rowOff>126310</xdr:rowOff>
    </xdr:to>
    <xdr:graphicFrame macro="">
      <xdr:nvGraphicFramePr>
        <xdr:cNvPr id="23" name="22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88</xdr:col>
      <xdr:colOff>735908</xdr:colOff>
      <xdr:row>12</xdr:row>
      <xdr:rowOff>52181</xdr:rowOff>
    </xdr:from>
    <xdr:to>
      <xdr:col>93</xdr:col>
      <xdr:colOff>12009</xdr:colOff>
      <xdr:row>30</xdr:row>
      <xdr:rowOff>71231</xdr:rowOff>
    </xdr:to>
    <xdr:graphicFrame macro="">
      <xdr:nvGraphicFramePr>
        <xdr:cNvPr id="24" name="23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57</xdr:col>
      <xdr:colOff>19049</xdr:colOff>
      <xdr:row>11</xdr:row>
      <xdr:rowOff>195261</xdr:rowOff>
    </xdr:from>
    <xdr:to>
      <xdr:col>61</xdr:col>
      <xdr:colOff>0</xdr:colOff>
      <xdr:row>33</xdr:row>
      <xdr:rowOff>142874</xdr:rowOff>
    </xdr:to>
    <xdr:graphicFrame macro="">
      <xdr:nvGraphicFramePr>
        <xdr:cNvPr id="25" name="24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32</xdr:col>
      <xdr:colOff>467591</xdr:colOff>
      <xdr:row>12</xdr:row>
      <xdr:rowOff>864</xdr:rowOff>
    </xdr:from>
    <xdr:to>
      <xdr:col>37</xdr:col>
      <xdr:colOff>580159</xdr:colOff>
      <xdr:row>31</xdr:row>
      <xdr:rowOff>181840</xdr:rowOff>
    </xdr:to>
    <xdr:graphicFrame macro="">
      <xdr:nvGraphicFramePr>
        <xdr:cNvPr id="13" name="12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93</xdr:col>
      <xdr:colOff>710044</xdr:colOff>
      <xdr:row>12</xdr:row>
      <xdr:rowOff>26841</xdr:rowOff>
    </xdr:from>
    <xdr:to>
      <xdr:col>97</xdr:col>
      <xdr:colOff>346363</xdr:colOff>
      <xdr:row>30</xdr:row>
      <xdr:rowOff>77930</xdr:rowOff>
    </xdr:to>
    <xdr:graphicFrame macro="">
      <xdr:nvGraphicFramePr>
        <xdr:cNvPr id="17" name="16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24</xdr:col>
      <xdr:colOff>25977</xdr:colOff>
      <xdr:row>11</xdr:row>
      <xdr:rowOff>165388</xdr:rowOff>
    </xdr:from>
    <xdr:to>
      <xdr:col>27</xdr:col>
      <xdr:colOff>8659</xdr:colOff>
      <xdr:row>31</xdr:row>
      <xdr:rowOff>25977</xdr:rowOff>
    </xdr:to>
    <xdr:graphicFrame macro="">
      <xdr:nvGraphicFramePr>
        <xdr:cNvPr id="8" name="7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38</xdr:col>
      <xdr:colOff>740831</xdr:colOff>
      <xdr:row>12</xdr:row>
      <xdr:rowOff>7598</xdr:rowOff>
    </xdr:from>
    <xdr:to>
      <xdr:col>41</xdr:col>
      <xdr:colOff>711006</xdr:colOff>
      <xdr:row>31</xdr:row>
      <xdr:rowOff>63498</xdr:rowOff>
    </xdr:to>
    <xdr:graphicFrame macro="">
      <xdr:nvGraphicFramePr>
        <xdr:cNvPr id="6" name="5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57</xdr:col>
      <xdr:colOff>21167</xdr:colOff>
      <xdr:row>52</xdr:row>
      <xdr:rowOff>137584</xdr:rowOff>
    </xdr:from>
    <xdr:to>
      <xdr:col>61</xdr:col>
      <xdr:colOff>42333</xdr:colOff>
      <xdr:row>69</xdr:row>
      <xdr:rowOff>74082</xdr:rowOff>
    </xdr:to>
    <xdr:graphicFrame macro="">
      <xdr:nvGraphicFramePr>
        <xdr:cNvPr id="18" name="17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57</xdr:col>
      <xdr:colOff>21166</xdr:colOff>
      <xdr:row>87</xdr:row>
      <xdr:rowOff>168274</xdr:rowOff>
    </xdr:from>
    <xdr:to>
      <xdr:col>61</xdr:col>
      <xdr:colOff>116416</xdr:colOff>
      <xdr:row>103</xdr:row>
      <xdr:rowOff>179916</xdr:rowOff>
    </xdr:to>
    <xdr:graphicFrame macro="">
      <xdr:nvGraphicFramePr>
        <xdr:cNvPr id="21" name="20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0.09437</cdr:x>
      <cdr:y>0.04396</cdr:y>
    </cdr:from>
    <cdr:to>
      <cdr:x>0.99696</cdr:x>
      <cdr:y>0.17677</cdr:y>
    </cdr:to>
    <cdr:sp macro="" textlink="">
      <cdr:nvSpPr>
        <cdr:cNvPr id="2" name="1 CuadroTexto"/>
        <cdr:cNvSpPr txBox="1"/>
      </cdr:nvSpPr>
      <cdr:spPr>
        <a:xfrm xmlns:a="http://schemas.openxmlformats.org/drawingml/2006/main">
          <a:off x="590559" y="165813"/>
          <a:ext cx="5648315" cy="5009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GRÁFICO 6</a:t>
          </a:r>
        </a:p>
        <a:p xmlns:a="http://schemas.openxmlformats.org/drawingml/2006/main">
          <a:r>
            <a:rPr lang="es-CL" sz="1100" b="0" i="0" u="none" strike="noStrike" baseline="0" smtClean="0">
              <a:latin typeface="+mn-lt"/>
              <a:ea typeface="+mn-ea"/>
              <a:cs typeface="+mn-cs"/>
            </a:rPr>
            <a:t>¿Cuán de Acuerdo está Ud. con que se busque realizar una Reforma Constitucional?</a:t>
          </a:r>
          <a:endParaRPr lang="es-CL" sz="1100" b="1"/>
        </a:p>
      </cdr:txBody>
    </cdr:sp>
  </cdr:relSizeAnchor>
  <cdr:relSizeAnchor xmlns:cdr="http://schemas.openxmlformats.org/drawingml/2006/chartDrawing">
    <cdr:from>
      <cdr:x>0.06393</cdr:x>
      <cdr:y>0.91414</cdr:y>
    </cdr:from>
    <cdr:to>
      <cdr:x>0.88889</cdr:x>
      <cdr:y>0.97475</cdr:y>
    </cdr:to>
    <cdr:sp macro="" textlink="">
      <cdr:nvSpPr>
        <cdr:cNvPr id="3" name="2 CuadroTexto"/>
        <cdr:cNvSpPr txBox="1"/>
      </cdr:nvSpPr>
      <cdr:spPr>
        <a:xfrm xmlns:a="http://schemas.openxmlformats.org/drawingml/2006/main">
          <a:off x="400051" y="3448050"/>
          <a:ext cx="5162550"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Fuente:</a:t>
          </a:r>
          <a:r>
            <a:rPr lang="es-CL" sz="1100" b="1" baseline="0"/>
            <a:t> </a:t>
          </a:r>
          <a:r>
            <a:rPr lang="es-CL" sz="1100" b="0" baseline="0"/>
            <a:t>LAPOP Chile, 2012.</a:t>
          </a:r>
          <a:endParaRPr lang="es-CL" sz="1100" b="1"/>
        </a:p>
      </cdr:txBody>
    </cdr:sp>
  </cdr:relSizeAnchor>
  <cdr:relSizeAnchor xmlns:cdr="http://schemas.openxmlformats.org/drawingml/2006/chartDrawing">
    <cdr:from>
      <cdr:x>0.01294</cdr:x>
      <cdr:y>0.11237</cdr:y>
    </cdr:from>
    <cdr:to>
      <cdr:x>0.11339</cdr:x>
      <cdr:y>0.71086</cdr:y>
    </cdr:to>
    <cdr:sp macro="" textlink="">
      <cdr:nvSpPr>
        <cdr:cNvPr id="4" name="3 CuadroTexto"/>
        <cdr:cNvSpPr txBox="1"/>
      </cdr:nvSpPr>
      <cdr:spPr>
        <a:xfrm xmlns:a="http://schemas.openxmlformats.org/drawingml/2006/main" rot="16200000">
          <a:off x="-733424" y="1238250"/>
          <a:ext cx="2257425" cy="628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a:t>Porcentaje de Menciones</a:t>
          </a:r>
        </a:p>
      </cdr:txBody>
    </cdr:sp>
  </cdr:relSizeAnchor>
</c:userShapes>
</file>

<file path=xl/drawings/drawing11.xml><?xml version="1.0" encoding="utf-8"?>
<c:userShapes xmlns:c="http://schemas.openxmlformats.org/drawingml/2006/chart">
  <cdr:relSizeAnchor xmlns:cdr="http://schemas.openxmlformats.org/drawingml/2006/chartDrawing">
    <cdr:from>
      <cdr:x>0.05916</cdr:x>
      <cdr:y>0.92013</cdr:y>
    </cdr:from>
    <cdr:to>
      <cdr:x>0.89558</cdr:x>
      <cdr:y>0.97881</cdr:y>
    </cdr:to>
    <cdr:sp macro="" textlink="">
      <cdr:nvSpPr>
        <cdr:cNvPr id="2" name="1 CuadroTexto"/>
        <cdr:cNvSpPr txBox="1"/>
      </cdr:nvSpPr>
      <cdr:spPr>
        <a:xfrm xmlns:a="http://schemas.openxmlformats.org/drawingml/2006/main">
          <a:off x="365125" y="3584575"/>
          <a:ext cx="5162550" cy="228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1" baseline="0"/>
            <a:t> </a:t>
          </a:r>
          <a:r>
            <a:rPr lang="es-CL" sz="1100" b="0" baseline="0"/>
            <a:t>LAPOP Chile, 2012.</a:t>
          </a:r>
          <a:endParaRPr lang="es-CL" sz="1100" b="1"/>
        </a:p>
      </cdr:txBody>
    </cdr:sp>
  </cdr:relSizeAnchor>
  <cdr:relSizeAnchor xmlns:cdr="http://schemas.openxmlformats.org/drawingml/2006/chartDrawing">
    <cdr:from>
      <cdr:x>0.01286</cdr:x>
      <cdr:y>0.12551</cdr:y>
    </cdr:from>
    <cdr:to>
      <cdr:x>0.11471</cdr:x>
      <cdr:y>0.70497</cdr:y>
    </cdr:to>
    <cdr:sp macro="" textlink="">
      <cdr:nvSpPr>
        <cdr:cNvPr id="3" name="1 CuadroTexto"/>
        <cdr:cNvSpPr txBox="1"/>
      </cdr:nvSpPr>
      <cdr:spPr>
        <a:xfrm xmlns:a="http://schemas.openxmlformats.org/drawingml/2006/main" rot="16200000">
          <a:off x="-735011" y="1303338"/>
          <a:ext cx="2257425" cy="62865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0.13786</cdr:x>
      <cdr:y>0.0057</cdr:y>
    </cdr:from>
    <cdr:to>
      <cdr:x>0.95576</cdr:x>
      <cdr:y>0.1343</cdr:y>
    </cdr:to>
    <cdr:sp macro="" textlink="">
      <cdr:nvSpPr>
        <cdr:cNvPr id="5" name="1 CuadroTexto"/>
        <cdr:cNvSpPr txBox="1"/>
      </cdr:nvSpPr>
      <cdr:spPr>
        <a:xfrm xmlns:a="http://schemas.openxmlformats.org/drawingml/2006/main">
          <a:off x="850900" y="22225"/>
          <a:ext cx="5048250" cy="50095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7</a:t>
          </a:r>
        </a:p>
        <a:p xmlns:a="http://schemas.openxmlformats.org/drawingml/2006/main">
          <a:r>
            <a:rPr lang="es-CL" sz="1100" b="0" i="0" u="none" strike="noStrike" baseline="0" smtClean="0">
              <a:latin typeface="+mn-lt"/>
              <a:ea typeface="+mn-ea"/>
              <a:cs typeface="+mn-cs"/>
            </a:rPr>
            <a:t>Apoyo a Reforma Constitucional según Sexo</a:t>
          </a:r>
          <a:endParaRPr lang="es-CL" sz="1100" b="1"/>
        </a:p>
      </cdr:txBody>
    </cdr:sp>
  </cdr:relSizeAnchor>
</c:userShapes>
</file>

<file path=xl/drawings/drawing12.xml><?xml version="1.0" encoding="utf-8"?>
<c:userShapes xmlns:c="http://schemas.openxmlformats.org/drawingml/2006/chart">
  <cdr:relSizeAnchor xmlns:cdr="http://schemas.openxmlformats.org/drawingml/2006/chartDrawing">
    <cdr:from>
      <cdr:x>0.05916</cdr:x>
      <cdr:y>0.92013</cdr:y>
    </cdr:from>
    <cdr:to>
      <cdr:x>0.89558</cdr:x>
      <cdr:y>0.97881</cdr:y>
    </cdr:to>
    <cdr:sp macro="" textlink="">
      <cdr:nvSpPr>
        <cdr:cNvPr id="2" name="1 CuadroTexto"/>
        <cdr:cNvSpPr txBox="1"/>
      </cdr:nvSpPr>
      <cdr:spPr>
        <a:xfrm xmlns:a="http://schemas.openxmlformats.org/drawingml/2006/main">
          <a:off x="365125" y="3584575"/>
          <a:ext cx="5162550" cy="228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1" baseline="0"/>
            <a:t> </a:t>
          </a:r>
          <a:r>
            <a:rPr lang="es-CL" sz="1100" b="0" baseline="0"/>
            <a:t>LAPOP Chile, 2012.</a:t>
          </a:r>
          <a:endParaRPr lang="es-CL" sz="1100" b="1"/>
        </a:p>
      </cdr:txBody>
    </cdr:sp>
  </cdr:relSizeAnchor>
  <cdr:relSizeAnchor xmlns:cdr="http://schemas.openxmlformats.org/drawingml/2006/chartDrawing">
    <cdr:from>
      <cdr:x>0.01286</cdr:x>
      <cdr:y>0.12551</cdr:y>
    </cdr:from>
    <cdr:to>
      <cdr:x>0.11471</cdr:x>
      <cdr:y>0.70497</cdr:y>
    </cdr:to>
    <cdr:sp macro="" textlink="">
      <cdr:nvSpPr>
        <cdr:cNvPr id="3" name="1 CuadroTexto"/>
        <cdr:cNvSpPr txBox="1"/>
      </cdr:nvSpPr>
      <cdr:spPr>
        <a:xfrm xmlns:a="http://schemas.openxmlformats.org/drawingml/2006/main" rot="16200000">
          <a:off x="-735011" y="1303338"/>
          <a:ext cx="2257425" cy="62865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0.13786</cdr:x>
      <cdr:y>0.0057</cdr:y>
    </cdr:from>
    <cdr:to>
      <cdr:x>0.95576</cdr:x>
      <cdr:y>0.1343</cdr:y>
    </cdr:to>
    <cdr:sp macro="" textlink="">
      <cdr:nvSpPr>
        <cdr:cNvPr id="5" name="1 CuadroTexto"/>
        <cdr:cNvSpPr txBox="1"/>
      </cdr:nvSpPr>
      <cdr:spPr>
        <a:xfrm xmlns:a="http://schemas.openxmlformats.org/drawingml/2006/main">
          <a:off x="850900" y="22225"/>
          <a:ext cx="5048250" cy="50095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8</a:t>
          </a:r>
        </a:p>
        <a:p xmlns:a="http://schemas.openxmlformats.org/drawingml/2006/main">
          <a:r>
            <a:rPr lang="es-CL" sz="1100" b="0" i="0" u="none" strike="noStrike" baseline="0" smtClean="0">
              <a:latin typeface="+mn-lt"/>
              <a:ea typeface="+mn-ea"/>
              <a:cs typeface="+mn-cs"/>
            </a:rPr>
            <a:t>Apoyo a Reforma Constitucional según Tramos de Edad</a:t>
          </a:r>
          <a:endParaRPr lang="es-CL" sz="1100" b="1"/>
        </a:p>
      </cdr:txBody>
    </cdr:sp>
  </cdr:relSizeAnchor>
</c:userShapes>
</file>

<file path=xl/drawings/drawing13.xml><?xml version="1.0" encoding="utf-8"?>
<c:userShapes xmlns:c="http://schemas.openxmlformats.org/drawingml/2006/chart">
  <cdr:relSizeAnchor xmlns:cdr="http://schemas.openxmlformats.org/drawingml/2006/chartDrawing">
    <cdr:from>
      <cdr:x>0.11522</cdr:x>
      <cdr:y>0.89716</cdr:y>
    </cdr:from>
    <cdr:to>
      <cdr:x>0.78805</cdr:x>
      <cdr:y>0.97429</cdr:y>
    </cdr:to>
    <cdr:sp macro="" textlink="">
      <cdr:nvSpPr>
        <cdr:cNvPr id="2" name="1 CuadroTexto"/>
        <cdr:cNvSpPr txBox="1"/>
      </cdr:nvSpPr>
      <cdr:spPr>
        <a:xfrm xmlns:a="http://schemas.openxmlformats.org/drawingml/2006/main">
          <a:off x="771525" y="3157537"/>
          <a:ext cx="4505325" cy="27146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Fuente: </a:t>
          </a:r>
          <a:r>
            <a:rPr lang="es-CL" sz="1100" b="0"/>
            <a:t>LAPOP Chile, 2012</a:t>
          </a:r>
          <a:endParaRPr lang="es-CL" sz="1100" b="1"/>
        </a:p>
      </cdr:txBody>
    </cdr:sp>
  </cdr:relSizeAnchor>
  <cdr:relSizeAnchor xmlns:cdr="http://schemas.openxmlformats.org/drawingml/2006/chartDrawing">
    <cdr:from>
      <cdr:x>0.00782</cdr:x>
      <cdr:y>0.2138</cdr:y>
    </cdr:from>
    <cdr:to>
      <cdr:x>0.06117</cdr:x>
      <cdr:y>0.63735</cdr:y>
    </cdr:to>
    <cdr:sp macro="" textlink="">
      <cdr:nvSpPr>
        <cdr:cNvPr id="3" name="2 CuadroTexto"/>
        <cdr:cNvSpPr txBox="1"/>
      </cdr:nvSpPr>
      <cdr:spPr>
        <a:xfrm xmlns:a="http://schemas.openxmlformats.org/drawingml/2006/main" rot="16200000">
          <a:off x="-514350" y="1319211"/>
          <a:ext cx="1490663" cy="3571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a:t>Porcentaje</a:t>
          </a:r>
          <a:r>
            <a:rPr lang="es-CL" sz="1100" baseline="0"/>
            <a:t> Menciones</a:t>
          </a:r>
          <a:endParaRPr lang="es-CL" sz="1100"/>
        </a:p>
      </cdr:txBody>
    </cdr:sp>
  </cdr:relSizeAnchor>
  <cdr:relSizeAnchor xmlns:cdr="http://schemas.openxmlformats.org/drawingml/2006/chartDrawing">
    <cdr:from>
      <cdr:x>0.14367</cdr:x>
      <cdr:y>0.05413</cdr:y>
    </cdr:from>
    <cdr:to>
      <cdr:x>0.95306</cdr:x>
      <cdr:y>0.23004</cdr:y>
    </cdr:to>
    <cdr:sp macro="" textlink="">
      <cdr:nvSpPr>
        <cdr:cNvPr id="5" name="4 CuadroTexto"/>
        <cdr:cNvSpPr txBox="1"/>
      </cdr:nvSpPr>
      <cdr:spPr>
        <a:xfrm xmlns:a="http://schemas.openxmlformats.org/drawingml/2006/main">
          <a:off x="962024" y="198759"/>
          <a:ext cx="5419725" cy="64592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GRÁFICO 9</a:t>
          </a:r>
        </a:p>
        <a:p xmlns:a="http://schemas.openxmlformats.org/drawingml/2006/main">
          <a:r>
            <a:rPr lang="es-CL" sz="1100" b="0" baseline="0"/>
            <a:t>Apoyo a la Reforma Constitucional según Máximo Nivel </a:t>
          </a:r>
          <a:r>
            <a:rPr lang="es-CL" sz="1100" b="1" baseline="0"/>
            <a:t> </a:t>
          </a:r>
          <a:r>
            <a:rPr lang="es-CL" sz="1100" b="0" baseline="0"/>
            <a:t>Educativo Alacanzado</a:t>
          </a:r>
          <a:endParaRPr lang="es-CL" sz="1100" b="1"/>
        </a:p>
      </cdr:txBody>
    </cdr:sp>
  </cdr:relSizeAnchor>
</c:userShapes>
</file>

<file path=xl/drawings/drawing14.xml><?xml version="1.0" encoding="utf-8"?>
<c:userShapes xmlns:c="http://schemas.openxmlformats.org/drawingml/2006/chart">
  <cdr:relSizeAnchor xmlns:cdr="http://schemas.openxmlformats.org/drawingml/2006/chartDrawing">
    <cdr:from>
      <cdr:x>0.01414</cdr:x>
      <cdr:y>0.16986</cdr:y>
    </cdr:from>
    <cdr:to>
      <cdr:x>0.10938</cdr:x>
      <cdr:y>0.7</cdr:y>
    </cdr:to>
    <cdr:sp macro="" textlink="">
      <cdr:nvSpPr>
        <cdr:cNvPr id="2" name="1 CuadroTexto"/>
        <cdr:cNvSpPr txBox="1"/>
      </cdr:nvSpPr>
      <cdr:spPr>
        <a:xfrm xmlns:a="http://schemas.openxmlformats.org/drawingml/2006/main" rot="16200000">
          <a:off x="-526256" y="1207294"/>
          <a:ext cx="1843088" cy="609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a:t>Porcentaje</a:t>
          </a:r>
          <a:r>
            <a:rPr lang="es-CL" sz="1100" baseline="0"/>
            <a:t> de Menciones</a:t>
          </a:r>
          <a:endParaRPr lang="es-CL" sz="1100"/>
        </a:p>
      </cdr:txBody>
    </cdr:sp>
  </cdr:relSizeAnchor>
  <cdr:relSizeAnchor xmlns:cdr="http://schemas.openxmlformats.org/drawingml/2006/chartDrawing">
    <cdr:from>
      <cdr:x>0.13095</cdr:x>
      <cdr:y>0.01972</cdr:y>
    </cdr:from>
    <cdr:to>
      <cdr:x>0.8631</cdr:x>
      <cdr:y>0.22246</cdr:y>
    </cdr:to>
    <cdr:sp macro="" textlink="">
      <cdr:nvSpPr>
        <cdr:cNvPr id="3" name="2 CuadroTexto"/>
        <cdr:cNvSpPr txBox="1"/>
      </cdr:nvSpPr>
      <cdr:spPr>
        <a:xfrm xmlns:a="http://schemas.openxmlformats.org/drawingml/2006/main">
          <a:off x="838200" y="76071"/>
          <a:ext cx="4686300" cy="7820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GRÁFICO 11</a:t>
          </a:r>
          <a:endParaRPr lang="es-CL" sz="1100" b="0"/>
        </a:p>
        <a:p xmlns:a="http://schemas.openxmlformats.org/drawingml/2006/main">
          <a:r>
            <a:rPr lang="es-CL" sz="1100" b="0"/>
            <a:t>Apoyo a la Reforma</a:t>
          </a:r>
          <a:r>
            <a:rPr lang="es-CL" sz="1100" b="0" baseline="0"/>
            <a:t> Constitucional según Posición Política</a:t>
          </a:r>
          <a:endParaRPr lang="es-CL" sz="1100" b="1"/>
        </a:p>
      </cdr:txBody>
    </cdr:sp>
  </cdr:relSizeAnchor>
  <cdr:relSizeAnchor xmlns:cdr="http://schemas.openxmlformats.org/drawingml/2006/chartDrawing">
    <cdr:from>
      <cdr:x>0.05952</cdr:x>
      <cdr:y>0.92099</cdr:y>
    </cdr:from>
    <cdr:to>
      <cdr:x>0.8631</cdr:x>
      <cdr:y>1</cdr:y>
    </cdr:to>
    <cdr:sp macro="" textlink="">
      <cdr:nvSpPr>
        <cdr:cNvPr id="4" name="3 CuadroTexto"/>
        <cdr:cNvSpPr txBox="1"/>
      </cdr:nvSpPr>
      <cdr:spPr>
        <a:xfrm xmlns:a="http://schemas.openxmlformats.org/drawingml/2006/main">
          <a:off x="381000" y="3581401"/>
          <a:ext cx="514350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Fuente: </a:t>
          </a:r>
          <a:r>
            <a:rPr lang="es-CL" sz="1100" b="0" baseline="0"/>
            <a:t> LAPOP, 2012</a:t>
          </a:r>
          <a:endParaRPr lang="es-CL" sz="1100" b="1"/>
        </a:p>
      </cdr:txBody>
    </cdr:sp>
  </cdr:relSizeAnchor>
</c:userShapes>
</file>

<file path=xl/drawings/drawing15.xml><?xml version="1.0" encoding="utf-8"?>
<c:userShapes xmlns:c="http://schemas.openxmlformats.org/drawingml/2006/chart">
  <cdr:relSizeAnchor xmlns:cdr="http://schemas.openxmlformats.org/drawingml/2006/chartDrawing">
    <cdr:from>
      <cdr:x>0.12626</cdr:x>
      <cdr:y>0.04156</cdr:y>
    </cdr:from>
    <cdr:to>
      <cdr:x>0.88379</cdr:x>
      <cdr:y>0.16327</cdr:y>
    </cdr:to>
    <cdr:sp macro="" textlink="">
      <cdr:nvSpPr>
        <cdr:cNvPr id="2" name="1 CuadroTexto"/>
        <cdr:cNvSpPr txBox="1"/>
      </cdr:nvSpPr>
      <cdr:spPr>
        <a:xfrm xmlns:a="http://schemas.openxmlformats.org/drawingml/2006/main">
          <a:off x="838201" y="155171"/>
          <a:ext cx="5029200" cy="4544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GRÁFICO 14</a:t>
          </a:r>
        </a:p>
        <a:p xmlns:a="http://schemas.openxmlformats.org/drawingml/2006/main">
          <a:r>
            <a:rPr lang="es-CL" sz="1100" b="0"/>
            <a:t>Apoyo</a:t>
          </a:r>
          <a:r>
            <a:rPr lang="es-CL" sz="1100" b="0" baseline="0"/>
            <a:t> a la Reforma Constitucional según Satisfacción a la Democracia</a:t>
          </a:r>
          <a:endParaRPr lang="es-CL" sz="1100" b="0"/>
        </a:p>
      </cdr:txBody>
    </cdr:sp>
  </cdr:relSizeAnchor>
  <cdr:relSizeAnchor xmlns:cdr="http://schemas.openxmlformats.org/drawingml/2006/chartDrawing">
    <cdr:from>
      <cdr:x>0.01004</cdr:x>
      <cdr:y>0.21818</cdr:y>
    </cdr:from>
    <cdr:to>
      <cdr:x>0.05165</cdr:x>
      <cdr:y>0.68312</cdr:y>
    </cdr:to>
    <cdr:sp macro="" textlink="">
      <cdr:nvSpPr>
        <cdr:cNvPr id="3" name="2 CuadroTexto"/>
        <cdr:cNvSpPr txBox="1"/>
      </cdr:nvSpPr>
      <cdr:spPr>
        <a:xfrm xmlns:a="http://schemas.openxmlformats.org/drawingml/2006/main" rot="16200000">
          <a:off x="-647699" y="1514475"/>
          <a:ext cx="1704975"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a:t>Porcentaje</a:t>
          </a:r>
          <a:r>
            <a:rPr lang="es-CL" sz="1100" baseline="0"/>
            <a:t> de Menciones</a:t>
          </a:r>
          <a:endParaRPr lang="es-CL" sz="1100"/>
        </a:p>
      </cdr:txBody>
    </cdr:sp>
  </cdr:relSizeAnchor>
  <cdr:relSizeAnchor xmlns:cdr="http://schemas.openxmlformats.org/drawingml/2006/chartDrawing">
    <cdr:from>
      <cdr:x>0.099</cdr:x>
      <cdr:y>0.92468</cdr:y>
    </cdr:from>
    <cdr:to>
      <cdr:x>0.50789</cdr:x>
      <cdr:y>0.9974</cdr:y>
    </cdr:to>
    <cdr:sp macro="" textlink="">
      <cdr:nvSpPr>
        <cdr:cNvPr id="4" name="3 CuadroTexto"/>
        <cdr:cNvSpPr txBox="1"/>
      </cdr:nvSpPr>
      <cdr:spPr>
        <a:xfrm xmlns:a="http://schemas.openxmlformats.org/drawingml/2006/main">
          <a:off x="657226" y="3390900"/>
          <a:ext cx="2714625"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Fuente:</a:t>
          </a:r>
          <a:r>
            <a:rPr lang="es-CL" sz="1100" b="0"/>
            <a:t> LAPOP, 2012.</a:t>
          </a:r>
          <a:endParaRPr lang="es-CL" sz="1100" b="1"/>
        </a:p>
      </cdr:txBody>
    </cdr:sp>
  </cdr:relSizeAnchor>
</c:userShapes>
</file>

<file path=xl/drawings/drawing16.xml><?xml version="1.0" encoding="utf-8"?>
<c:userShapes xmlns:c="http://schemas.openxmlformats.org/drawingml/2006/chart">
  <cdr:relSizeAnchor xmlns:cdr="http://schemas.openxmlformats.org/drawingml/2006/chartDrawing">
    <cdr:from>
      <cdr:x>0.00807</cdr:x>
      <cdr:y>0.01287</cdr:y>
    </cdr:from>
    <cdr:to>
      <cdr:x>0.10489</cdr:x>
      <cdr:y>0.66668</cdr:y>
    </cdr:to>
    <cdr:sp macro="" textlink="">
      <cdr:nvSpPr>
        <cdr:cNvPr id="2" name="1 CuadroTexto"/>
        <cdr:cNvSpPr txBox="1"/>
      </cdr:nvSpPr>
      <cdr:spPr>
        <a:xfrm xmlns:a="http://schemas.openxmlformats.org/drawingml/2006/main" rot="16200000">
          <a:off x="-935061" y="1036661"/>
          <a:ext cx="2581321" cy="609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a:t>
          </a:r>
          <a:r>
            <a:rPr lang="es-CL" sz="1100" baseline="0"/>
            <a:t> de Menciones</a:t>
          </a:r>
          <a:endParaRPr lang="es-CL" sz="1100"/>
        </a:p>
      </cdr:txBody>
    </cdr:sp>
  </cdr:relSizeAnchor>
  <cdr:relSizeAnchor xmlns:cdr="http://schemas.openxmlformats.org/drawingml/2006/chartDrawing">
    <cdr:from>
      <cdr:x>0.08674</cdr:x>
      <cdr:y>0.91418</cdr:y>
    </cdr:from>
    <cdr:to>
      <cdr:x>0.90368</cdr:x>
      <cdr:y>1</cdr:y>
    </cdr:to>
    <cdr:sp macro="" textlink="">
      <cdr:nvSpPr>
        <cdr:cNvPr id="3" name="1 CuadroTexto"/>
        <cdr:cNvSpPr txBox="1"/>
      </cdr:nvSpPr>
      <cdr:spPr>
        <a:xfrm xmlns:a="http://schemas.openxmlformats.org/drawingml/2006/main">
          <a:off x="546100" y="3609279"/>
          <a:ext cx="5143500" cy="33883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baseline="0"/>
            <a:t> LAPOP, 2012</a:t>
          </a:r>
          <a:endParaRPr lang="es-CL" sz="1100" b="1"/>
        </a:p>
      </cdr:txBody>
    </cdr:sp>
  </cdr:relSizeAnchor>
  <cdr:relSizeAnchor xmlns:cdr="http://schemas.openxmlformats.org/drawingml/2006/chartDrawing">
    <cdr:from>
      <cdr:x>0.11699</cdr:x>
      <cdr:y>0.01769</cdr:y>
    </cdr:from>
    <cdr:to>
      <cdr:x>0.98638</cdr:x>
      <cdr:y>0.2379</cdr:y>
    </cdr:to>
    <cdr:sp macro="" textlink="">
      <cdr:nvSpPr>
        <cdr:cNvPr id="4" name="1 CuadroTexto"/>
        <cdr:cNvSpPr txBox="1"/>
      </cdr:nvSpPr>
      <cdr:spPr>
        <a:xfrm xmlns:a="http://schemas.openxmlformats.org/drawingml/2006/main">
          <a:off x="736599" y="69850"/>
          <a:ext cx="5473701" cy="8694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15</a:t>
          </a:r>
          <a:endParaRPr lang="es-CL" sz="1100" b="0"/>
        </a:p>
        <a:p xmlns:a="http://schemas.openxmlformats.org/drawingml/2006/main">
          <a:r>
            <a:rPr lang="es-CL" sz="1100" b="0"/>
            <a:t>Apoyo a la Reforma</a:t>
          </a:r>
          <a:r>
            <a:rPr lang="es-CL" sz="1100" b="0" baseline="0"/>
            <a:t> Constitucional según Nivel de Respeto a Instituciones Políticas de Chile </a:t>
          </a:r>
          <a:endParaRPr lang="es-CL" sz="1100" b="1"/>
        </a:p>
      </cdr:txBody>
    </cdr:sp>
  </cdr:relSizeAnchor>
</c:userShapes>
</file>

<file path=xl/drawings/drawing17.xml><?xml version="1.0" encoding="utf-8"?>
<c:userShapes xmlns:c="http://schemas.openxmlformats.org/drawingml/2006/chart">
  <cdr:relSizeAnchor xmlns:cdr="http://schemas.openxmlformats.org/drawingml/2006/chartDrawing">
    <cdr:from>
      <cdr:x>0.01406</cdr:x>
      <cdr:y>0.04674</cdr:y>
    </cdr:from>
    <cdr:to>
      <cdr:x>0.10113</cdr:x>
      <cdr:y>0.66974</cdr:y>
    </cdr:to>
    <cdr:sp macro="" textlink="">
      <cdr:nvSpPr>
        <cdr:cNvPr id="2" name="1 CuadroTexto"/>
        <cdr:cNvSpPr txBox="1"/>
      </cdr:nvSpPr>
      <cdr:spPr>
        <a:xfrm xmlns:a="http://schemas.openxmlformats.org/drawingml/2006/main" rot="16200000">
          <a:off x="-887436" y="1179536"/>
          <a:ext cx="2581321" cy="609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a:t>
          </a:r>
          <a:r>
            <a:rPr lang="es-CL" sz="1100" baseline="0"/>
            <a:t> de Menciones</a:t>
          </a:r>
          <a:endParaRPr lang="es-CL" sz="1100"/>
        </a:p>
      </cdr:txBody>
    </cdr:sp>
  </cdr:relSizeAnchor>
  <cdr:relSizeAnchor xmlns:cdr="http://schemas.openxmlformats.org/drawingml/2006/chartDrawing">
    <cdr:from>
      <cdr:x>0.10658</cdr:x>
      <cdr:y>0.92742</cdr:y>
    </cdr:from>
    <cdr:to>
      <cdr:x>0.84127</cdr:x>
      <cdr:y>0.98161</cdr:y>
    </cdr:to>
    <cdr:sp macro="" textlink="">
      <cdr:nvSpPr>
        <cdr:cNvPr id="3" name="1 CuadroTexto"/>
        <cdr:cNvSpPr txBox="1"/>
      </cdr:nvSpPr>
      <cdr:spPr>
        <a:xfrm xmlns:a="http://schemas.openxmlformats.org/drawingml/2006/main">
          <a:off x="746125" y="3842640"/>
          <a:ext cx="5143500" cy="22453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baseline="0"/>
            <a:t> LAPOP, 2012</a:t>
          </a:r>
          <a:endParaRPr lang="es-CL" sz="1100" b="1"/>
        </a:p>
      </cdr:txBody>
    </cdr:sp>
  </cdr:relSizeAnchor>
  <cdr:relSizeAnchor xmlns:cdr="http://schemas.openxmlformats.org/drawingml/2006/chartDrawing">
    <cdr:from>
      <cdr:x>0.1093</cdr:x>
      <cdr:y>0.01686</cdr:y>
    </cdr:from>
    <cdr:to>
      <cdr:x>0.89116</cdr:x>
      <cdr:y>0.22669</cdr:y>
    </cdr:to>
    <cdr:sp macro="" textlink="">
      <cdr:nvSpPr>
        <cdr:cNvPr id="4" name="1 CuadroTexto"/>
        <cdr:cNvSpPr txBox="1"/>
      </cdr:nvSpPr>
      <cdr:spPr>
        <a:xfrm xmlns:a="http://schemas.openxmlformats.org/drawingml/2006/main">
          <a:off x="765175" y="69850"/>
          <a:ext cx="5473701" cy="8694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16</a:t>
          </a:r>
          <a:endParaRPr lang="es-CL" sz="1100" b="0"/>
        </a:p>
        <a:p xmlns:a="http://schemas.openxmlformats.org/drawingml/2006/main">
          <a:r>
            <a:rPr lang="es-CL" sz="1100" b="0"/>
            <a:t>Apoyo a la Reforma</a:t>
          </a:r>
          <a:r>
            <a:rPr lang="es-CL" sz="1100" b="0" baseline="0"/>
            <a:t> Constitucional según Nivel de Apoyo a Sistema Político de Chile </a:t>
          </a:r>
          <a:endParaRPr lang="es-CL" sz="1100" b="1"/>
        </a:p>
      </cdr:txBody>
    </cdr:sp>
  </cdr:relSizeAnchor>
</c:userShapes>
</file>

<file path=xl/drawings/drawing18.xml><?xml version="1.0" encoding="utf-8"?>
<c:userShapes xmlns:c="http://schemas.openxmlformats.org/drawingml/2006/chart">
  <cdr:relSizeAnchor xmlns:cdr="http://schemas.openxmlformats.org/drawingml/2006/chartDrawing">
    <cdr:from>
      <cdr:x>0.0123</cdr:x>
      <cdr:y>0.19545</cdr:y>
    </cdr:from>
    <cdr:to>
      <cdr:x>0.09662</cdr:x>
      <cdr:y>0.68364</cdr:y>
    </cdr:to>
    <cdr:sp macro="" textlink="">
      <cdr:nvSpPr>
        <cdr:cNvPr id="2" name="1 CuadroTexto"/>
        <cdr:cNvSpPr txBox="1"/>
      </cdr:nvSpPr>
      <cdr:spPr>
        <a:xfrm xmlns:a="http://schemas.openxmlformats.org/drawingml/2006/main" rot="16200000">
          <a:off x="-474686" y="1258910"/>
          <a:ext cx="1736772" cy="609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a:t>
          </a:r>
          <a:r>
            <a:rPr lang="es-CL" sz="1100" baseline="0"/>
            <a:t> de Menciones</a:t>
          </a:r>
          <a:endParaRPr lang="es-CL" sz="1100"/>
        </a:p>
      </cdr:txBody>
    </cdr:sp>
  </cdr:relSizeAnchor>
  <cdr:relSizeAnchor xmlns:cdr="http://schemas.openxmlformats.org/drawingml/2006/chartDrawing">
    <cdr:from>
      <cdr:x>0.0953</cdr:x>
      <cdr:y>0.01024</cdr:y>
    </cdr:from>
    <cdr:to>
      <cdr:x>0.85244</cdr:x>
      <cdr:y>0.12673</cdr:y>
    </cdr:to>
    <cdr:sp macro="" textlink="">
      <cdr:nvSpPr>
        <cdr:cNvPr id="3" name="1 CuadroTexto"/>
        <cdr:cNvSpPr txBox="1"/>
      </cdr:nvSpPr>
      <cdr:spPr>
        <a:xfrm xmlns:a="http://schemas.openxmlformats.org/drawingml/2006/main">
          <a:off x="688969" y="42332"/>
          <a:ext cx="5473725" cy="4815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18</a:t>
          </a:r>
          <a:endParaRPr lang="es-CL" sz="1100" b="0"/>
        </a:p>
        <a:p xmlns:a="http://schemas.openxmlformats.org/drawingml/2006/main">
          <a:r>
            <a:rPr lang="es-CL" sz="1100" b="0"/>
            <a:t>Apoyo a la Reforma</a:t>
          </a:r>
          <a:r>
            <a:rPr lang="es-CL" sz="1100" b="0" baseline="0"/>
            <a:t> Constitucional según Interés en la Política</a:t>
          </a:r>
          <a:endParaRPr lang="es-CL" sz="1100" b="1"/>
        </a:p>
      </cdr:txBody>
    </cdr:sp>
  </cdr:relSizeAnchor>
  <cdr:relSizeAnchor xmlns:cdr="http://schemas.openxmlformats.org/drawingml/2006/chartDrawing">
    <cdr:from>
      <cdr:x>0.08871</cdr:x>
      <cdr:y>0.94547</cdr:y>
    </cdr:from>
    <cdr:to>
      <cdr:x>0.80018</cdr:x>
      <cdr:y>0.99978</cdr:y>
    </cdr:to>
    <cdr:sp macro="" textlink="">
      <cdr:nvSpPr>
        <cdr:cNvPr id="6" name="1 CuadroTexto"/>
        <cdr:cNvSpPr txBox="1"/>
      </cdr:nvSpPr>
      <cdr:spPr>
        <a:xfrm xmlns:a="http://schemas.openxmlformats.org/drawingml/2006/main">
          <a:off x="641350" y="3908425"/>
          <a:ext cx="5143500" cy="22453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baseline="0"/>
            <a:t> LAPOP, 2012</a:t>
          </a:r>
          <a:endParaRPr lang="es-CL" sz="1100" b="1"/>
        </a:p>
      </cdr:txBody>
    </cdr:sp>
  </cdr:relSizeAnchor>
</c:userShapes>
</file>

<file path=xl/drawings/drawing19.xml><?xml version="1.0" encoding="utf-8"?>
<c:userShapes xmlns:c="http://schemas.openxmlformats.org/drawingml/2006/chart">
  <cdr:relSizeAnchor xmlns:cdr="http://schemas.openxmlformats.org/drawingml/2006/chartDrawing">
    <cdr:from>
      <cdr:x>0.10592</cdr:x>
      <cdr:y>0.01298</cdr:y>
    </cdr:from>
    <cdr:to>
      <cdr:x>0.81086</cdr:x>
      <cdr:y>0.22603</cdr:y>
    </cdr:to>
    <cdr:sp macro="" textlink="">
      <cdr:nvSpPr>
        <cdr:cNvPr id="2" name="1 CuadroTexto"/>
        <cdr:cNvSpPr txBox="1"/>
      </cdr:nvSpPr>
      <cdr:spPr>
        <a:xfrm xmlns:a="http://schemas.openxmlformats.org/drawingml/2006/main">
          <a:off x="755650" y="50800"/>
          <a:ext cx="5029200" cy="8340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19</a:t>
          </a:r>
        </a:p>
        <a:p xmlns:a="http://schemas.openxmlformats.org/drawingml/2006/main">
          <a:r>
            <a:rPr lang="es-CL" sz="1100" b="0"/>
            <a:t>Apoyo</a:t>
          </a:r>
          <a:r>
            <a:rPr lang="es-CL" sz="1100" b="0" baseline="0"/>
            <a:t> a la Reforma Constitucional según Simpatía con Partidos Políticos</a:t>
          </a:r>
          <a:endParaRPr lang="es-CL" sz="1100" b="0"/>
        </a:p>
      </cdr:txBody>
    </cdr:sp>
  </cdr:relSizeAnchor>
  <cdr:relSizeAnchor xmlns:cdr="http://schemas.openxmlformats.org/drawingml/2006/chartDrawing">
    <cdr:from>
      <cdr:x>0.01513</cdr:x>
      <cdr:y>0.23925</cdr:y>
    </cdr:from>
    <cdr:to>
      <cdr:x>0.05385</cdr:x>
      <cdr:y>0.6827</cdr:y>
    </cdr:to>
    <cdr:sp macro="" textlink="">
      <cdr:nvSpPr>
        <cdr:cNvPr id="3" name="1 CuadroTexto"/>
        <cdr:cNvSpPr txBox="1"/>
      </cdr:nvSpPr>
      <cdr:spPr>
        <a:xfrm xmlns:a="http://schemas.openxmlformats.org/drawingml/2006/main" rot="16200000">
          <a:off x="-621925" y="1666500"/>
          <a:ext cx="1735975" cy="2762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a:t>
          </a:r>
          <a:r>
            <a:rPr lang="es-CL" sz="1100" baseline="0"/>
            <a:t> de Menciones</a:t>
          </a:r>
          <a:endParaRPr lang="es-CL" sz="1100"/>
        </a:p>
      </cdr:txBody>
    </cdr:sp>
  </cdr:relSizeAnchor>
  <cdr:relSizeAnchor xmlns:cdr="http://schemas.openxmlformats.org/drawingml/2006/chartDrawing">
    <cdr:from>
      <cdr:x>0.0899</cdr:x>
      <cdr:y>0.93063</cdr:y>
    </cdr:from>
    <cdr:to>
      <cdr:x>0.4704</cdr:x>
      <cdr:y>1</cdr:y>
    </cdr:to>
    <cdr:sp macro="" textlink="">
      <cdr:nvSpPr>
        <cdr:cNvPr id="4" name="1 CuadroTexto"/>
        <cdr:cNvSpPr txBox="1"/>
      </cdr:nvSpPr>
      <cdr:spPr>
        <a:xfrm xmlns:a="http://schemas.openxmlformats.org/drawingml/2006/main">
          <a:off x="641350" y="3643225"/>
          <a:ext cx="2714625" cy="27154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0"/>
            <a:t> LAPOP, 2012.</a:t>
          </a:r>
          <a:endParaRPr lang="es-CL" sz="1100" b="1"/>
        </a:p>
      </cdr:txBody>
    </cdr:sp>
  </cdr:relSizeAnchor>
</c:userShapes>
</file>

<file path=xl/drawings/drawing20.xml><?xml version="1.0" encoding="utf-8"?>
<c:userShapes xmlns:c="http://schemas.openxmlformats.org/drawingml/2006/chart">
  <cdr:relSizeAnchor xmlns:cdr="http://schemas.openxmlformats.org/drawingml/2006/chartDrawing">
    <cdr:from>
      <cdr:x>0.00758</cdr:x>
      <cdr:y>0.10471</cdr:y>
    </cdr:from>
    <cdr:to>
      <cdr:x>0.09848</cdr:x>
      <cdr:y>0.58352</cdr:y>
    </cdr:to>
    <cdr:sp macro="" textlink="">
      <cdr:nvSpPr>
        <cdr:cNvPr id="2" name="1 CuadroTexto"/>
        <cdr:cNvSpPr txBox="1"/>
      </cdr:nvSpPr>
      <cdr:spPr>
        <a:xfrm xmlns:a="http://schemas.openxmlformats.org/drawingml/2006/main" rot="16200000">
          <a:off x="-653448" y="1145573"/>
          <a:ext cx="2018096" cy="609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a:t>
          </a:r>
          <a:r>
            <a:rPr lang="es-CL" sz="1100" baseline="0"/>
            <a:t> de Menciones</a:t>
          </a:r>
          <a:endParaRPr lang="es-CL" sz="1100"/>
        </a:p>
      </cdr:txBody>
    </cdr:sp>
  </cdr:relSizeAnchor>
  <cdr:relSizeAnchor xmlns:cdr="http://schemas.openxmlformats.org/drawingml/2006/chartDrawing">
    <cdr:from>
      <cdr:x>0.10133</cdr:x>
      <cdr:y>0.94539</cdr:y>
    </cdr:from>
    <cdr:to>
      <cdr:x>0.86837</cdr:x>
      <cdr:y>0.99866</cdr:y>
    </cdr:to>
    <cdr:sp macro="" textlink="">
      <cdr:nvSpPr>
        <cdr:cNvPr id="3" name="1 CuadroTexto"/>
        <cdr:cNvSpPr txBox="1"/>
      </cdr:nvSpPr>
      <cdr:spPr>
        <a:xfrm xmlns:a="http://schemas.openxmlformats.org/drawingml/2006/main">
          <a:off x="679450" y="3984625"/>
          <a:ext cx="5143500" cy="22453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baseline="0"/>
            <a:t> LAPOP, 2012</a:t>
          </a:r>
          <a:endParaRPr lang="es-CL" sz="1100" b="1"/>
        </a:p>
      </cdr:txBody>
    </cdr:sp>
  </cdr:relSizeAnchor>
  <cdr:relSizeAnchor xmlns:cdr="http://schemas.openxmlformats.org/drawingml/2006/chartDrawing">
    <cdr:from>
      <cdr:x>0.10275</cdr:x>
      <cdr:y>0.01431</cdr:y>
    </cdr:from>
    <cdr:to>
      <cdr:x>0.91903</cdr:x>
      <cdr:y>0.22596</cdr:y>
    </cdr:to>
    <cdr:sp macro="" textlink="">
      <cdr:nvSpPr>
        <cdr:cNvPr id="4" name="1 CuadroTexto"/>
        <cdr:cNvSpPr txBox="1"/>
      </cdr:nvSpPr>
      <cdr:spPr>
        <a:xfrm xmlns:a="http://schemas.openxmlformats.org/drawingml/2006/main">
          <a:off x="688975" y="60325"/>
          <a:ext cx="5473701" cy="89203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20</a:t>
          </a:r>
          <a:endParaRPr lang="es-CL" sz="1100" b="0"/>
        </a:p>
        <a:p xmlns:a="http://schemas.openxmlformats.org/drawingml/2006/main">
          <a:r>
            <a:rPr lang="es-CL" sz="1100" b="0"/>
            <a:t>Apoyo a la Reforma</a:t>
          </a:r>
          <a:r>
            <a:rPr lang="es-CL" sz="1100" b="0" baseline="0"/>
            <a:t> Constitucional según Participación en Protestas el último año</a:t>
          </a:r>
          <a:endParaRPr lang="es-CL" sz="1100" b="1"/>
        </a:p>
      </cdr:txBody>
    </cdr:sp>
  </cdr:relSizeAnchor>
</c:userShapes>
</file>

<file path=xl/drawings/drawing21.xml><?xml version="1.0" encoding="utf-8"?>
<c:userShapes xmlns:c="http://schemas.openxmlformats.org/drawingml/2006/chart">
  <cdr:relSizeAnchor xmlns:cdr="http://schemas.openxmlformats.org/drawingml/2006/chartDrawing">
    <cdr:from>
      <cdr:x>0.1273</cdr:x>
      <cdr:y>0.02913</cdr:y>
    </cdr:from>
    <cdr:to>
      <cdr:x>0.90289</cdr:x>
      <cdr:y>0.33495</cdr:y>
    </cdr:to>
    <cdr:sp macro="" textlink="">
      <cdr:nvSpPr>
        <cdr:cNvPr id="2" name="1 CuadroTexto"/>
        <cdr:cNvSpPr txBox="1"/>
      </cdr:nvSpPr>
      <cdr:spPr>
        <a:xfrm xmlns:a="http://schemas.openxmlformats.org/drawingml/2006/main">
          <a:off x="923925" y="114300"/>
          <a:ext cx="5629275" cy="1200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GRÁFICO 21</a:t>
          </a:r>
        </a:p>
        <a:p xmlns:a="http://schemas.openxmlformats.org/drawingml/2006/main">
          <a:r>
            <a:rPr lang="es-CL" sz="1100" b="0"/>
            <a:t>Apoyo</a:t>
          </a:r>
          <a:r>
            <a:rPr lang="es-CL" sz="1100" b="0" baseline="0"/>
            <a:t> a la Reforma Constitucional según Satisfacción con Escuelas Públicas</a:t>
          </a:r>
          <a:endParaRPr lang="es-CL" sz="1100" b="0"/>
        </a:p>
        <a:p xmlns:a="http://schemas.openxmlformats.org/drawingml/2006/main">
          <a:endParaRPr lang="es-CL" sz="1100" b="0"/>
        </a:p>
      </cdr:txBody>
    </cdr:sp>
  </cdr:relSizeAnchor>
  <cdr:relSizeAnchor xmlns:cdr="http://schemas.openxmlformats.org/drawingml/2006/chartDrawing">
    <cdr:from>
      <cdr:x>0.00591</cdr:x>
      <cdr:y>0.21238</cdr:y>
    </cdr:from>
    <cdr:to>
      <cdr:x>0.04659</cdr:x>
      <cdr:y>0.64927</cdr:y>
    </cdr:to>
    <cdr:sp macro="" textlink="">
      <cdr:nvSpPr>
        <cdr:cNvPr id="3" name="2 CuadroTexto"/>
        <cdr:cNvSpPr txBox="1"/>
      </cdr:nvSpPr>
      <cdr:spPr>
        <a:xfrm xmlns:a="http://schemas.openxmlformats.org/drawingml/2006/main" rot="16200000">
          <a:off x="-666749" y="1543050"/>
          <a:ext cx="1714500" cy="2952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a:t>Porcentaje de Menciones</a:t>
          </a:r>
        </a:p>
      </cdr:txBody>
    </cdr:sp>
  </cdr:relSizeAnchor>
  <cdr:relSizeAnchor xmlns:cdr="http://schemas.openxmlformats.org/drawingml/2006/chartDrawing">
    <cdr:from>
      <cdr:x>0.07874</cdr:x>
      <cdr:y>0.93447</cdr:y>
    </cdr:from>
    <cdr:to>
      <cdr:x>0.65617</cdr:x>
      <cdr:y>1</cdr:y>
    </cdr:to>
    <cdr:sp macro="" textlink="">
      <cdr:nvSpPr>
        <cdr:cNvPr id="4" name="3 CuadroTexto"/>
        <cdr:cNvSpPr txBox="1"/>
      </cdr:nvSpPr>
      <cdr:spPr>
        <a:xfrm xmlns:a="http://schemas.openxmlformats.org/drawingml/2006/main">
          <a:off x="571500" y="3667125"/>
          <a:ext cx="4191000"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Fuente:</a:t>
          </a:r>
          <a:r>
            <a:rPr lang="es-CL" sz="1100" b="0"/>
            <a:t> LAPOP, 2012.</a:t>
          </a:r>
        </a:p>
        <a:p xmlns:a="http://schemas.openxmlformats.org/drawingml/2006/main">
          <a:endParaRPr lang="es-CL" sz="1100" b="1"/>
        </a:p>
      </cdr:txBody>
    </cdr:sp>
  </cdr:relSizeAnchor>
</c:userShapes>
</file>

<file path=xl/drawings/drawing22.xml><?xml version="1.0" encoding="utf-8"?>
<c:userShapes xmlns:c="http://schemas.openxmlformats.org/drawingml/2006/chart">
  <cdr:relSizeAnchor xmlns:cdr="http://schemas.openxmlformats.org/drawingml/2006/chartDrawing">
    <cdr:from>
      <cdr:x>0.02239</cdr:x>
      <cdr:y>0.00288</cdr:y>
    </cdr:from>
    <cdr:to>
      <cdr:x>0.85373</cdr:x>
      <cdr:y>0.13833</cdr:y>
    </cdr:to>
    <cdr:sp macro="" textlink="">
      <cdr:nvSpPr>
        <cdr:cNvPr id="2" name="1 CuadroTexto"/>
        <cdr:cNvSpPr txBox="1"/>
      </cdr:nvSpPr>
      <cdr:spPr>
        <a:xfrm xmlns:a="http://schemas.openxmlformats.org/drawingml/2006/main">
          <a:off x="142875" y="9526"/>
          <a:ext cx="5305425" cy="4476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GRÁFICO</a:t>
          </a:r>
          <a:r>
            <a:rPr lang="es-CL" sz="1100" b="1" baseline="0"/>
            <a:t> 22</a:t>
          </a:r>
        </a:p>
        <a:p xmlns:a="http://schemas.openxmlformats.org/drawingml/2006/main">
          <a:r>
            <a:rPr lang="es-CL" sz="1100" b="0" baseline="0"/>
            <a:t>Apoyo a la Reforma Constitucional según Percepción de Calidad de la Educación Pública</a:t>
          </a:r>
          <a:endParaRPr lang="es-CL" sz="1100" b="0"/>
        </a:p>
      </cdr:txBody>
    </cdr:sp>
  </cdr:relSizeAnchor>
  <cdr:relSizeAnchor xmlns:cdr="http://schemas.openxmlformats.org/drawingml/2006/chartDrawing">
    <cdr:from>
      <cdr:x>0.02836</cdr:x>
      <cdr:y>0.92219</cdr:y>
    </cdr:from>
    <cdr:to>
      <cdr:x>0.49701</cdr:x>
      <cdr:y>0.99424</cdr:y>
    </cdr:to>
    <cdr:sp macro="" textlink="">
      <cdr:nvSpPr>
        <cdr:cNvPr id="3" name="2 CuadroTexto"/>
        <cdr:cNvSpPr txBox="1"/>
      </cdr:nvSpPr>
      <cdr:spPr>
        <a:xfrm xmlns:a="http://schemas.openxmlformats.org/drawingml/2006/main">
          <a:off x="180975" y="3048001"/>
          <a:ext cx="2990850"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Fuente: </a:t>
          </a:r>
          <a:r>
            <a:rPr lang="es-CL" sz="1100" b="0"/>
            <a:t>LAPOP,2012.</a:t>
          </a:r>
          <a:endParaRPr lang="es-CL" sz="1100" b="1"/>
        </a:p>
      </cdr:txBody>
    </cdr:sp>
  </cdr:relSizeAnchor>
  <cdr:relSizeAnchor xmlns:cdr="http://schemas.openxmlformats.org/drawingml/2006/chartDrawing">
    <cdr:from>
      <cdr:x>0.01791</cdr:x>
      <cdr:y>0.18156</cdr:y>
    </cdr:from>
    <cdr:to>
      <cdr:x>0.06567</cdr:x>
      <cdr:y>0.683</cdr:y>
    </cdr:to>
    <cdr:sp macro="" textlink="">
      <cdr:nvSpPr>
        <cdr:cNvPr id="4" name="3 CuadroTexto"/>
        <cdr:cNvSpPr txBox="1"/>
      </cdr:nvSpPr>
      <cdr:spPr>
        <a:xfrm xmlns:a="http://schemas.openxmlformats.org/drawingml/2006/main" rot="16200000">
          <a:off x="-561975" y="1276352"/>
          <a:ext cx="165735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a:t>Porcentaje</a:t>
          </a:r>
          <a:r>
            <a:rPr lang="es-CL" sz="1100" baseline="0"/>
            <a:t> de Menciones</a:t>
          </a:r>
          <a:endParaRPr lang="es-CL" sz="1100"/>
        </a:p>
      </cdr:txBody>
    </cdr:sp>
  </cdr:relSizeAnchor>
</c:userShapes>
</file>

<file path=xl/drawings/drawing23.xml><?xml version="1.0" encoding="utf-8"?>
<c:userShapes xmlns:c="http://schemas.openxmlformats.org/drawingml/2006/chart">
  <cdr:relSizeAnchor xmlns:cdr="http://schemas.openxmlformats.org/drawingml/2006/chartDrawing">
    <cdr:from>
      <cdr:x>0.00811</cdr:x>
      <cdr:y>0.01526</cdr:y>
    </cdr:from>
    <cdr:to>
      <cdr:x>0.85461</cdr:x>
      <cdr:y>0.14974</cdr:y>
    </cdr:to>
    <cdr:sp macro="" textlink="">
      <cdr:nvSpPr>
        <cdr:cNvPr id="2" name="1 CuadroTexto"/>
        <cdr:cNvSpPr txBox="1"/>
      </cdr:nvSpPr>
      <cdr:spPr>
        <a:xfrm xmlns:a="http://schemas.openxmlformats.org/drawingml/2006/main">
          <a:off x="50800" y="50800"/>
          <a:ext cx="5305404" cy="44768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a:t>
          </a:r>
          <a:r>
            <a:rPr lang="es-CL" sz="1100" b="1" baseline="0"/>
            <a:t> 23</a:t>
          </a:r>
        </a:p>
        <a:p xmlns:a="http://schemas.openxmlformats.org/drawingml/2006/main">
          <a:r>
            <a:rPr lang="es-CL" sz="1100" b="0" baseline="0"/>
            <a:t>Apoyo a la Reforma Constitucional según Participación Electoral Pasada</a:t>
          </a:r>
          <a:endParaRPr lang="es-CL" sz="1100" b="0"/>
        </a:p>
      </cdr:txBody>
    </cdr:sp>
  </cdr:relSizeAnchor>
  <cdr:relSizeAnchor xmlns:cdr="http://schemas.openxmlformats.org/drawingml/2006/chartDrawing">
    <cdr:from>
      <cdr:x>0.00659</cdr:x>
      <cdr:y>0.2041</cdr:y>
    </cdr:from>
    <cdr:to>
      <cdr:x>0.05522</cdr:x>
      <cdr:y>0.70195</cdr:y>
    </cdr:to>
    <cdr:sp macro="" textlink="">
      <cdr:nvSpPr>
        <cdr:cNvPr id="3" name="1 CuadroTexto"/>
        <cdr:cNvSpPr txBox="1"/>
      </cdr:nvSpPr>
      <cdr:spPr>
        <a:xfrm xmlns:a="http://schemas.openxmlformats.org/drawingml/2006/main" rot="16200000">
          <a:off x="-635002" y="1355727"/>
          <a:ext cx="1657347" cy="30479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a:t>
          </a:r>
          <a:r>
            <a:rPr lang="es-CL" sz="1100" baseline="0"/>
            <a:t> de Menciones</a:t>
          </a:r>
          <a:endParaRPr lang="es-CL" sz="1100"/>
        </a:p>
      </cdr:txBody>
    </cdr:sp>
  </cdr:relSizeAnchor>
  <cdr:relSizeAnchor xmlns:cdr="http://schemas.openxmlformats.org/drawingml/2006/chartDrawing">
    <cdr:from>
      <cdr:x>0.0238</cdr:x>
      <cdr:y>0.92223</cdr:y>
    </cdr:from>
    <cdr:to>
      <cdr:x>0.49245</cdr:x>
      <cdr:y>0.99428</cdr:y>
    </cdr:to>
    <cdr:sp macro="" textlink="">
      <cdr:nvSpPr>
        <cdr:cNvPr id="5" name="2 CuadroTexto"/>
        <cdr:cNvSpPr txBox="1"/>
      </cdr:nvSpPr>
      <cdr:spPr>
        <a:xfrm xmlns:a="http://schemas.openxmlformats.org/drawingml/2006/main">
          <a:off x="149170" y="3070084"/>
          <a:ext cx="2937241" cy="23985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Fuente: </a:t>
          </a:r>
          <a:r>
            <a:rPr lang="es-CL" sz="1100" b="0"/>
            <a:t>LAPOP,2012.</a:t>
          </a:r>
          <a:endParaRPr lang="es-CL" sz="1100" b="1"/>
        </a:p>
      </cdr:txBody>
    </cdr:sp>
  </cdr:relSizeAnchor>
</c:userShapes>
</file>

<file path=xl/drawings/drawing24.xml><?xml version="1.0" encoding="utf-8"?>
<c:userShapes xmlns:c="http://schemas.openxmlformats.org/drawingml/2006/chart">
  <cdr:relSizeAnchor xmlns:cdr="http://schemas.openxmlformats.org/drawingml/2006/chartDrawing">
    <cdr:from>
      <cdr:x>0.00744</cdr:x>
      <cdr:y>0.01522</cdr:y>
    </cdr:from>
    <cdr:to>
      <cdr:x>0.78428</cdr:x>
      <cdr:y>0.14931</cdr:y>
    </cdr:to>
    <cdr:sp macro="" textlink="">
      <cdr:nvSpPr>
        <cdr:cNvPr id="2" name="1 CuadroTexto"/>
        <cdr:cNvSpPr txBox="1"/>
      </cdr:nvSpPr>
      <cdr:spPr>
        <a:xfrm xmlns:a="http://schemas.openxmlformats.org/drawingml/2006/main">
          <a:off x="50800" y="50800"/>
          <a:ext cx="5305404" cy="44768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a:t>
          </a:r>
          <a:r>
            <a:rPr lang="es-CL" sz="1100" b="1" baseline="0"/>
            <a:t> 24</a:t>
          </a:r>
        </a:p>
        <a:p xmlns:a="http://schemas.openxmlformats.org/drawingml/2006/main">
          <a:r>
            <a:rPr lang="es-CL" sz="1100" b="0" baseline="0"/>
            <a:t>Apoyo a la Reforma Constitucional según Intención de Participación Electoral </a:t>
          </a:r>
          <a:endParaRPr lang="es-CL" sz="1100" b="0"/>
        </a:p>
      </cdr:txBody>
    </cdr:sp>
  </cdr:relSizeAnchor>
  <cdr:relSizeAnchor xmlns:cdr="http://schemas.openxmlformats.org/drawingml/2006/chartDrawing">
    <cdr:from>
      <cdr:x>0.00883</cdr:x>
      <cdr:y>0.21208</cdr:y>
    </cdr:from>
    <cdr:to>
      <cdr:x>0.05346</cdr:x>
      <cdr:y>0.70851</cdr:y>
    </cdr:to>
    <cdr:sp macro="" textlink="">
      <cdr:nvSpPr>
        <cdr:cNvPr id="3" name="1 CuadroTexto"/>
        <cdr:cNvSpPr txBox="1"/>
      </cdr:nvSpPr>
      <cdr:spPr>
        <a:xfrm xmlns:a="http://schemas.openxmlformats.org/drawingml/2006/main" rot="16200000">
          <a:off x="-615952" y="1384302"/>
          <a:ext cx="1657347" cy="30479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a:t>
          </a:r>
          <a:r>
            <a:rPr lang="es-CL" sz="1100" baseline="0"/>
            <a:t> de Menciones</a:t>
          </a:r>
          <a:endParaRPr lang="es-CL" sz="1100"/>
        </a:p>
      </cdr:txBody>
    </cdr:sp>
  </cdr:relSizeAnchor>
  <cdr:relSizeAnchor xmlns:cdr="http://schemas.openxmlformats.org/drawingml/2006/chartDrawing">
    <cdr:from>
      <cdr:x>0.03394</cdr:x>
      <cdr:y>0.92759</cdr:y>
    </cdr:from>
    <cdr:to>
      <cdr:x>0.46402</cdr:x>
      <cdr:y>0.99944</cdr:y>
    </cdr:to>
    <cdr:sp macro="" textlink="">
      <cdr:nvSpPr>
        <cdr:cNvPr id="4" name="2 CuadroTexto"/>
        <cdr:cNvSpPr txBox="1"/>
      </cdr:nvSpPr>
      <cdr:spPr>
        <a:xfrm xmlns:a="http://schemas.openxmlformats.org/drawingml/2006/main">
          <a:off x="231775" y="3176304"/>
          <a:ext cx="2937241" cy="24601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LAPOP,2012.</a:t>
          </a:r>
          <a:endParaRPr lang="es-CL" sz="1100" b="1"/>
        </a:p>
      </cdr:txBody>
    </cdr:sp>
  </cdr:relSizeAnchor>
</c:userShapes>
</file>

<file path=xl/drawings/drawing25.xml><?xml version="1.0" encoding="utf-8"?>
<c:userShapes xmlns:c="http://schemas.openxmlformats.org/drawingml/2006/chart">
  <cdr:relSizeAnchor xmlns:cdr="http://schemas.openxmlformats.org/drawingml/2006/chartDrawing">
    <cdr:from>
      <cdr:x>0.0074</cdr:x>
      <cdr:y>0.01227</cdr:y>
    </cdr:from>
    <cdr:to>
      <cdr:x>0.80444</cdr:x>
      <cdr:y>0.12863</cdr:y>
    </cdr:to>
    <cdr:sp macro="" textlink="">
      <cdr:nvSpPr>
        <cdr:cNvPr id="2" name="1 CuadroTexto"/>
        <cdr:cNvSpPr txBox="1"/>
      </cdr:nvSpPr>
      <cdr:spPr>
        <a:xfrm xmlns:a="http://schemas.openxmlformats.org/drawingml/2006/main">
          <a:off x="50800" y="50800"/>
          <a:ext cx="5473725" cy="48155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17</a:t>
          </a:r>
          <a:endParaRPr lang="es-CL" sz="1100" b="0"/>
        </a:p>
        <a:p xmlns:a="http://schemas.openxmlformats.org/drawingml/2006/main">
          <a:r>
            <a:rPr lang="es-CL" sz="1100" b="0"/>
            <a:t>Apoyo a la Reforma</a:t>
          </a:r>
          <a:r>
            <a:rPr lang="es-CL" sz="1100" b="0" baseline="0"/>
            <a:t> Constitucional según Confianza  en las Instituciones</a:t>
          </a:r>
          <a:endParaRPr lang="es-CL" sz="1100" b="1"/>
        </a:p>
      </cdr:txBody>
    </cdr:sp>
  </cdr:relSizeAnchor>
  <cdr:relSizeAnchor xmlns:cdr="http://schemas.openxmlformats.org/drawingml/2006/chartDrawing">
    <cdr:from>
      <cdr:x>0.00185</cdr:x>
      <cdr:y>0.01918</cdr:y>
    </cdr:from>
    <cdr:to>
      <cdr:x>0.09061</cdr:x>
      <cdr:y>0.6429</cdr:y>
    </cdr:to>
    <cdr:sp macro="" textlink="">
      <cdr:nvSpPr>
        <cdr:cNvPr id="3" name="1 CuadroTexto"/>
        <cdr:cNvSpPr txBox="1"/>
      </cdr:nvSpPr>
      <cdr:spPr>
        <a:xfrm xmlns:a="http://schemas.openxmlformats.org/drawingml/2006/main" rot="16200000">
          <a:off x="-973179" y="1065254"/>
          <a:ext cx="2581323" cy="60956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a:t>
          </a:r>
          <a:r>
            <a:rPr lang="es-CL" sz="1100" baseline="0"/>
            <a:t> de Menciones</a:t>
          </a:r>
          <a:endParaRPr lang="es-CL" sz="1100"/>
        </a:p>
      </cdr:txBody>
    </cdr:sp>
  </cdr:relSizeAnchor>
  <cdr:relSizeAnchor xmlns:cdr="http://schemas.openxmlformats.org/drawingml/2006/chartDrawing">
    <cdr:from>
      <cdr:x>0</cdr:x>
      <cdr:y>0.94575</cdr:y>
    </cdr:from>
    <cdr:to>
      <cdr:x>0.74896</cdr:x>
      <cdr:y>1</cdr:y>
    </cdr:to>
    <cdr:sp macro="" textlink="">
      <cdr:nvSpPr>
        <cdr:cNvPr id="4" name="1 CuadroTexto"/>
        <cdr:cNvSpPr txBox="1"/>
      </cdr:nvSpPr>
      <cdr:spPr>
        <a:xfrm xmlns:a="http://schemas.openxmlformats.org/drawingml/2006/main">
          <a:off x="0" y="3914084"/>
          <a:ext cx="5143473" cy="2245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baseline="0"/>
            <a:t> LAPOP, 2012</a:t>
          </a:r>
          <a:endParaRPr lang="es-CL" sz="1100" b="1"/>
        </a:p>
      </cdr:txBody>
    </cdr:sp>
  </cdr:relSizeAnchor>
</c:userShapes>
</file>

<file path=xl/drawings/drawing26.xml><?xml version="1.0" encoding="utf-8"?>
<c:userShapes xmlns:c="http://schemas.openxmlformats.org/drawingml/2006/chart">
  <cdr:relSizeAnchor xmlns:cdr="http://schemas.openxmlformats.org/drawingml/2006/chartDrawing">
    <cdr:from>
      <cdr:x>0.00662</cdr:x>
      <cdr:y>0.23783</cdr:y>
    </cdr:from>
    <cdr:to>
      <cdr:x>0.05578</cdr:x>
      <cdr:y>0.65391</cdr:y>
    </cdr:to>
    <cdr:sp macro="" textlink="">
      <cdr:nvSpPr>
        <cdr:cNvPr id="2" name="1 CuadroTexto"/>
        <cdr:cNvSpPr txBox="1"/>
      </cdr:nvSpPr>
      <cdr:spPr>
        <a:xfrm xmlns:a="http://schemas.openxmlformats.org/drawingml/2006/main" rot="16200000">
          <a:off x="-626315" y="1611432"/>
          <a:ext cx="1649793" cy="31288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a:t>
          </a:r>
          <a:r>
            <a:rPr lang="es-CL" sz="1100" baseline="0"/>
            <a:t> de Menciones</a:t>
          </a:r>
          <a:endParaRPr lang="es-CL" sz="1100"/>
        </a:p>
      </cdr:txBody>
    </cdr:sp>
  </cdr:relSizeAnchor>
  <cdr:relSizeAnchor xmlns:cdr="http://schemas.openxmlformats.org/drawingml/2006/chartDrawing">
    <cdr:from>
      <cdr:x>0</cdr:x>
      <cdr:y>0.93448</cdr:y>
    </cdr:from>
    <cdr:to>
      <cdr:x>0.64636</cdr:x>
      <cdr:y>1</cdr:y>
    </cdr:to>
    <cdr:sp macro="" textlink="">
      <cdr:nvSpPr>
        <cdr:cNvPr id="3" name="1 CuadroTexto"/>
        <cdr:cNvSpPr txBox="1"/>
      </cdr:nvSpPr>
      <cdr:spPr>
        <a:xfrm xmlns:a="http://schemas.openxmlformats.org/drawingml/2006/main">
          <a:off x="0" y="3705227"/>
          <a:ext cx="4113731" cy="25977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baseline="0"/>
            <a:t> LAPOP, 2012</a:t>
          </a:r>
          <a:endParaRPr lang="es-CL" sz="1100" b="1"/>
        </a:p>
      </cdr:txBody>
    </cdr:sp>
  </cdr:relSizeAnchor>
  <cdr:relSizeAnchor xmlns:cdr="http://schemas.openxmlformats.org/drawingml/2006/chartDrawing">
    <cdr:from>
      <cdr:x>0.01887</cdr:x>
      <cdr:y>0.01281</cdr:y>
    </cdr:from>
    <cdr:to>
      <cdr:x>0.87211</cdr:x>
      <cdr:y>0.2179</cdr:y>
    </cdr:to>
    <cdr:sp macro="" textlink="">
      <cdr:nvSpPr>
        <cdr:cNvPr id="4" name="1 CuadroTexto"/>
        <cdr:cNvSpPr txBox="1"/>
      </cdr:nvSpPr>
      <cdr:spPr>
        <a:xfrm xmlns:a="http://schemas.openxmlformats.org/drawingml/2006/main">
          <a:off x="120073" y="50800"/>
          <a:ext cx="5430404" cy="81316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12</a:t>
          </a:r>
          <a:endParaRPr lang="es-CL" sz="1100" b="0"/>
        </a:p>
        <a:p xmlns:a="http://schemas.openxmlformats.org/drawingml/2006/main">
          <a:r>
            <a:rPr lang="es-CL" sz="1100" b="0"/>
            <a:t>Apoyo a la Reforma</a:t>
          </a:r>
          <a:r>
            <a:rPr lang="es-CL" sz="1100" b="0" baseline="0"/>
            <a:t> Constitucional según Autoidentificación en el Eje Liberal-Conservador</a:t>
          </a:r>
          <a:endParaRPr lang="es-CL" sz="1100" b="1"/>
        </a:p>
      </cdr:txBody>
    </cdr:sp>
  </cdr:relSizeAnchor>
</c:userShapes>
</file>

<file path=xl/drawings/drawing27.xml><?xml version="1.0" encoding="utf-8"?>
<c:userShapes xmlns:c="http://schemas.openxmlformats.org/drawingml/2006/chart">
  <cdr:relSizeAnchor xmlns:cdr="http://schemas.openxmlformats.org/drawingml/2006/chartDrawing">
    <cdr:from>
      <cdr:x>0</cdr:x>
      <cdr:y>0.92878</cdr:y>
    </cdr:from>
    <cdr:to>
      <cdr:x>0.35455</cdr:x>
      <cdr:y>1</cdr:y>
    </cdr:to>
    <cdr:sp macro="" textlink="">
      <cdr:nvSpPr>
        <cdr:cNvPr id="2" name="2 CuadroTexto"/>
        <cdr:cNvSpPr txBox="1"/>
      </cdr:nvSpPr>
      <cdr:spPr>
        <a:xfrm xmlns:a="http://schemas.openxmlformats.org/drawingml/2006/main">
          <a:off x="0" y="3377012"/>
          <a:ext cx="2317881" cy="2589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LAPOP,2012.</a:t>
          </a:r>
          <a:endParaRPr lang="es-CL" sz="1100" b="1"/>
        </a:p>
      </cdr:txBody>
    </cdr:sp>
  </cdr:relSizeAnchor>
  <cdr:relSizeAnchor xmlns:cdr="http://schemas.openxmlformats.org/drawingml/2006/chartDrawing">
    <cdr:from>
      <cdr:x>0.00115</cdr:x>
      <cdr:y>0.20211</cdr:y>
    </cdr:from>
    <cdr:to>
      <cdr:x>0.03794</cdr:x>
      <cdr:y>0.69417</cdr:y>
    </cdr:to>
    <cdr:sp macro="" textlink="">
      <cdr:nvSpPr>
        <cdr:cNvPr id="3" name="1 CuadroTexto"/>
        <cdr:cNvSpPr txBox="1"/>
      </cdr:nvSpPr>
      <cdr:spPr>
        <a:xfrm xmlns:a="http://schemas.openxmlformats.org/drawingml/2006/main" rot="16200000">
          <a:off x="-766776" y="1509149"/>
          <a:ext cx="1789091" cy="2405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a:t>
          </a:r>
          <a:r>
            <a:rPr lang="es-CL" sz="1100" baseline="0"/>
            <a:t> de Menciones</a:t>
          </a:r>
          <a:endParaRPr lang="es-CL" sz="1100"/>
        </a:p>
      </cdr:txBody>
    </cdr:sp>
  </cdr:relSizeAnchor>
  <cdr:relSizeAnchor xmlns:cdr="http://schemas.openxmlformats.org/drawingml/2006/chartDrawing">
    <cdr:from>
      <cdr:x>0.00777</cdr:x>
      <cdr:y>0.01397</cdr:y>
    </cdr:from>
    <cdr:to>
      <cdr:x>0.79338</cdr:x>
      <cdr:y>0.14688</cdr:y>
    </cdr:to>
    <cdr:sp macro="" textlink="">
      <cdr:nvSpPr>
        <cdr:cNvPr id="4" name="1 CuadroTexto"/>
        <cdr:cNvSpPr txBox="1"/>
      </cdr:nvSpPr>
      <cdr:spPr>
        <a:xfrm xmlns:a="http://schemas.openxmlformats.org/drawingml/2006/main">
          <a:off x="50800" y="50800"/>
          <a:ext cx="5135997" cy="48324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a:t>
          </a:r>
          <a:r>
            <a:rPr lang="es-CL" sz="1100" b="1" baseline="0"/>
            <a:t> 25</a:t>
          </a:r>
        </a:p>
        <a:p xmlns:a="http://schemas.openxmlformats.org/drawingml/2006/main">
          <a:r>
            <a:rPr lang="es-CL" sz="1100" b="0" baseline="0"/>
            <a:t>Apoyo a la Reforma Constitucional según Proyección de Participación Electoral </a:t>
          </a:r>
          <a:endParaRPr lang="es-CL" sz="1100" b="0"/>
        </a:p>
      </cdr:txBody>
    </cdr:sp>
  </cdr:relSizeAnchor>
</c:userShapes>
</file>

<file path=xl/drawings/drawing28.xml><?xml version="1.0" encoding="utf-8"?>
<c:userShapes xmlns:c="http://schemas.openxmlformats.org/drawingml/2006/chart">
  <cdr:relSizeAnchor xmlns:cdr="http://schemas.openxmlformats.org/drawingml/2006/chartDrawing">
    <cdr:from>
      <cdr:x>0.00785</cdr:x>
      <cdr:y>0.01852</cdr:y>
    </cdr:from>
    <cdr:to>
      <cdr:x>0.80214</cdr:x>
      <cdr:y>0.18633</cdr:y>
    </cdr:to>
    <cdr:sp macro="" textlink="">
      <cdr:nvSpPr>
        <cdr:cNvPr id="2" name="1 CuadroTexto"/>
        <cdr:cNvSpPr txBox="1"/>
      </cdr:nvSpPr>
      <cdr:spPr>
        <a:xfrm xmlns:a="http://schemas.openxmlformats.org/drawingml/2006/main">
          <a:off x="50800" y="50800"/>
          <a:ext cx="5137696" cy="46033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10</a:t>
          </a:r>
        </a:p>
        <a:p xmlns:a="http://schemas.openxmlformats.org/drawingml/2006/main">
          <a:r>
            <a:rPr lang="es-CL" sz="1100" b="0" baseline="0"/>
            <a:t>Apoyo a la Reforma Constitucional según Pertenencia a un Pueblo Originario</a:t>
          </a:r>
          <a:endParaRPr lang="es-CL" sz="1100" b="1"/>
        </a:p>
      </cdr:txBody>
    </cdr:sp>
  </cdr:relSizeAnchor>
  <cdr:relSizeAnchor xmlns:cdr="http://schemas.openxmlformats.org/drawingml/2006/chartDrawing">
    <cdr:from>
      <cdr:x>0.0025</cdr:x>
      <cdr:y>0.24758</cdr:y>
    </cdr:from>
    <cdr:to>
      <cdr:x>0.05486</cdr:x>
      <cdr:y>0.66061</cdr:y>
    </cdr:to>
    <cdr:sp macro="" textlink="">
      <cdr:nvSpPr>
        <cdr:cNvPr id="3" name="1 CuadroTexto"/>
        <cdr:cNvSpPr txBox="1"/>
      </cdr:nvSpPr>
      <cdr:spPr>
        <a:xfrm xmlns:a="http://schemas.openxmlformats.org/drawingml/2006/main" rot="16200000">
          <a:off x="-608294" y="1576092"/>
          <a:ext cx="1587591" cy="33867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a:t>
          </a:r>
          <a:r>
            <a:rPr lang="es-CL" sz="1100" baseline="0"/>
            <a:t> Menciones</a:t>
          </a:r>
          <a:endParaRPr lang="es-CL" sz="1100"/>
        </a:p>
      </cdr:txBody>
    </cdr:sp>
  </cdr:relSizeAnchor>
  <cdr:relSizeAnchor xmlns:cdr="http://schemas.openxmlformats.org/drawingml/2006/chartDrawing">
    <cdr:from>
      <cdr:x>0</cdr:x>
      <cdr:y>0.92187</cdr:y>
    </cdr:from>
    <cdr:to>
      <cdr:x>0.66028</cdr:x>
      <cdr:y>1</cdr:y>
    </cdr:to>
    <cdr:sp macro="" textlink="">
      <cdr:nvSpPr>
        <cdr:cNvPr id="4" name="1 CuadroTexto"/>
        <cdr:cNvSpPr txBox="1"/>
      </cdr:nvSpPr>
      <cdr:spPr>
        <a:xfrm xmlns:a="http://schemas.openxmlformats.org/drawingml/2006/main">
          <a:off x="0" y="3543476"/>
          <a:ext cx="4270911" cy="3002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LAPOP Chile, 2012</a:t>
          </a:r>
          <a:endParaRPr lang="es-CL" sz="1100" b="1"/>
        </a:p>
      </cdr:txBody>
    </cdr:sp>
  </cdr:relSizeAnchor>
</c:userShapes>
</file>

<file path=xl/drawings/drawing29.xml><?xml version="1.0" encoding="utf-8"?>
<c:userShapes xmlns:c="http://schemas.openxmlformats.org/drawingml/2006/chart">
  <cdr:relSizeAnchor xmlns:cdr="http://schemas.openxmlformats.org/drawingml/2006/chartDrawing">
    <cdr:from>
      <cdr:x>0.01608</cdr:x>
      <cdr:y>0.13188</cdr:y>
    </cdr:from>
    <cdr:to>
      <cdr:x>0.10694</cdr:x>
      <cdr:y>0.6477</cdr:y>
    </cdr:to>
    <cdr:sp macro="" textlink="">
      <cdr:nvSpPr>
        <cdr:cNvPr id="2" name="1 CuadroTexto"/>
        <cdr:cNvSpPr txBox="1"/>
      </cdr:nvSpPr>
      <cdr:spPr>
        <a:xfrm xmlns:a="http://schemas.openxmlformats.org/drawingml/2006/main" rot="16200000">
          <a:off x="-400713" y="1068576"/>
          <a:ext cx="1999550" cy="88485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a:t>
          </a:r>
          <a:r>
            <a:rPr lang="es-CL" sz="1100" baseline="0"/>
            <a:t> de Menciones</a:t>
          </a:r>
          <a:endParaRPr lang="es-CL" sz="1100"/>
        </a:p>
      </cdr:txBody>
    </cdr:sp>
  </cdr:relSizeAnchor>
  <cdr:relSizeAnchor xmlns:cdr="http://schemas.openxmlformats.org/drawingml/2006/chartDrawing">
    <cdr:from>
      <cdr:x>0.07933</cdr:x>
      <cdr:y>0.92629</cdr:y>
    </cdr:from>
    <cdr:to>
      <cdr:x>0.84597</cdr:x>
      <cdr:y>1</cdr:y>
    </cdr:to>
    <cdr:sp macro="" textlink="">
      <cdr:nvSpPr>
        <cdr:cNvPr id="3" name="1 CuadroTexto"/>
        <cdr:cNvSpPr txBox="1"/>
      </cdr:nvSpPr>
      <cdr:spPr>
        <a:xfrm xmlns:a="http://schemas.openxmlformats.org/drawingml/2006/main">
          <a:off x="772583" y="3590733"/>
          <a:ext cx="7466003" cy="28574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baseline="0"/>
            <a:t> LAPOP, 2012</a:t>
          </a:r>
          <a:endParaRPr lang="es-CL" sz="1100" b="1"/>
        </a:p>
      </cdr:txBody>
    </cdr:sp>
  </cdr:relSizeAnchor>
  <cdr:relSizeAnchor xmlns:cdr="http://schemas.openxmlformats.org/drawingml/2006/chartDrawing">
    <cdr:from>
      <cdr:x>0.07585</cdr:x>
      <cdr:y>0.00764</cdr:y>
    </cdr:from>
    <cdr:to>
      <cdr:x>0.77434</cdr:x>
      <cdr:y>0.24508</cdr:y>
    </cdr:to>
    <cdr:sp macro="" textlink="">
      <cdr:nvSpPr>
        <cdr:cNvPr id="4" name="1 CuadroTexto"/>
        <cdr:cNvSpPr txBox="1"/>
      </cdr:nvSpPr>
      <cdr:spPr>
        <a:xfrm xmlns:a="http://schemas.openxmlformats.org/drawingml/2006/main">
          <a:off x="738717" y="29634"/>
          <a:ext cx="6802313" cy="92041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13</a:t>
          </a:r>
          <a:endParaRPr lang="es-CL" sz="1100" b="0"/>
        </a:p>
        <a:p xmlns:a="http://schemas.openxmlformats.org/drawingml/2006/main">
          <a:r>
            <a:rPr lang="es-CL" sz="1100" b="0"/>
            <a:t>Apoyo a la Reforma</a:t>
          </a:r>
          <a:r>
            <a:rPr lang="es-CL" sz="1100" b="0" baseline="0"/>
            <a:t> Constitucional según Apoyo a la Democracia</a:t>
          </a:r>
          <a:endParaRPr lang="es-CL" sz="1100" b="1"/>
        </a:p>
      </cdr:txBody>
    </cdr:sp>
  </cdr:relSizeAnchor>
</c:userShapes>
</file>

<file path=xl/drawings/drawing30.xml><?xml version="1.0" encoding="utf-8"?>
<c:userShapes xmlns:c="http://schemas.openxmlformats.org/drawingml/2006/chart">
  <cdr:relSizeAnchor xmlns:cdr="http://schemas.openxmlformats.org/drawingml/2006/chartDrawing">
    <cdr:from>
      <cdr:x>0</cdr:x>
      <cdr:y>0.2082</cdr:y>
    </cdr:from>
    <cdr:to>
      <cdr:x>0.08821</cdr:x>
      <cdr:y>0.75214</cdr:y>
    </cdr:to>
    <cdr:sp macro="" textlink="">
      <cdr:nvSpPr>
        <cdr:cNvPr id="2" name="1 CuadroTexto"/>
        <cdr:cNvSpPr txBox="1"/>
      </cdr:nvSpPr>
      <cdr:spPr>
        <a:xfrm xmlns:a="http://schemas.openxmlformats.org/drawingml/2006/main" rot="16200000">
          <a:off x="-626297" y="1324795"/>
          <a:ext cx="1824861" cy="57226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a:t>
          </a:r>
          <a:r>
            <a:rPr lang="es-CL" sz="1100" baseline="0"/>
            <a:t> de Menciones</a:t>
          </a:r>
          <a:endParaRPr lang="es-CL" sz="1100"/>
        </a:p>
      </cdr:txBody>
    </cdr:sp>
  </cdr:relSizeAnchor>
</c:userShapes>
</file>

<file path=xl/drawings/drawing31.xml><?xml version="1.0" encoding="utf-8"?>
<c:userShapes xmlns:c="http://schemas.openxmlformats.org/drawingml/2006/chart">
  <cdr:relSizeAnchor xmlns:cdr="http://schemas.openxmlformats.org/drawingml/2006/chartDrawing">
    <cdr:from>
      <cdr:x>0.00613</cdr:x>
      <cdr:y>0.06867</cdr:y>
    </cdr:from>
    <cdr:to>
      <cdr:x>0.09334</cdr:x>
      <cdr:y>0.7339</cdr:y>
    </cdr:to>
    <cdr:sp macro="" textlink="">
      <cdr:nvSpPr>
        <cdr:cNvPr id="2" name="1 CuadroTexto"/>
        <cdr:cNvSpPr txBox="1"/>
      </cdr:nvSpPr>
      <cdr:spPr>
        <a:xfrm xmlns:a="http://schemas.openxmlformats.org/drawingml/2006/main" rot="16200000">
          <a:off x="-586080" y="814681"/>
          <a:ext cx="1824861" cy="57226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a:t>
          </a:r>
          <a:r>
            <a:rPr lang="es-CL" sz="1100" baseline="0"/>
            <a:t> de Menciones</a:t>
          </a:r>
          <a:endParaRPr lang="es-CL" sz="1100"/>
        </a:p>
      </cdr:txBody>
    </cdr:sp>
  </cdr:relSizeAnchor>
</c:userShapes>
</file>

<file path=xl/drawings/drawing32.xml><?xml version="1.0" encoding="utf-8"?>
<xdr:wsDr xmlns:xdr="http://schemas.openxmlformats.org/drawingml/2006/spreadsheetDrawing" xmlns:a="http://schemas.openxmlformats.org/drawingml/2006/main">
  <xdr:twoCellAnchor editAs="oneCell">
    <xdr:from>
      <xdr:col>29</xdr:col>
      <xdr:colOff>19050</xdr:colOff>
      <xdr:row>0</xdr:row>
      <xdr:rowOff>0</xdr:rowOff>
    </xdr:from>
    <xdr:to>
      <xdr:col>36</xdr:col>
      <xdr:colOff>676275</xdr:colOff>
      <xdr:row>23</xdr:row>
      <xdr:rowOff>152400</xdr:rowOff>
    </xdr:to>
    <xdr:pic>
      <xdr:nvPicPr>
        <xdr:cNvPr id="2" name="1 Imagen"/>
        <xdr:cNvPicPr>
          <a:picLocks noChangeAspect="1"/>
        </xdr:cNvPicPr>
      </xdr:nvPicPr>
      <xdr:blipFill>
        <a:blip xmlns:r="http://schemas.openxmlformats.org/officeDocument/2006/relationships" r:embed="rId1"/>
        <a:stretch>
          <a:fillRect/>
        </a:stretch>
      </xdr:blipFill>
      <xdr:spPr>
        <a:xfrm>
          <a:off x="22117050" y="0"/>
          <a:ext cx="5991225" cy="4800600"/>
        </a:xfrm>
        <a:prstGeom prst="rect">
          <a:avLst/>
        </a:prstGeom>
      </xdr:spPr>
    </xdr:pic>
    <xdr:clientData/>
  </xdr:twoCellAnchor>
  <xdr:twoCellAnchor editAs="oneCell">
    <xdr:from>
      <xdr:col>29</xdr:col>
      <xdr:colOff>9525</xdr:colOff>
      <xdr:row>27</xdr:row>
      <xdr:rowOff>0</xdr:rowOff>
    </xdr:from>
    <xdr:to>
      <xdr:col>36</xdr:col>
      <xdr:colOff>666750</xdr:colOff>
      <xdr:row>52</xdr:row>
      <xdr:rowOff>38100</xdr:rowOff>
    </xdr:to>
    <xdr:pic>
      <xdr:nvPicPr>
        <xdr:cNvPr id="3" name="2 Imagen"/>
        <xdr:cNvPicPr>
          <a:picLocks noChangeAspect="1"/>
        </xdr:cNvPicPr>
      </xdr:nvPicPr>
      <xdr:blipFill>
        <a:blip xmlns:r="http://schemas.openxmlformats.org/officeDocument/2006/relationships" r:embed="rId2"/>
        <a:stretch>
          <a:fillRect/>
        </a:stretch>
      </xdr:blipFill>
      <xdr:spPr>
        <a:xfrm>
          <a:off x="22107525" y="5553075"/>
          <a:ext cx="5991225" cy="480060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22</xdr:col>
      <xdr:colOff>0</xdr:colOff>
      <xdr:row>1</xdr:row>
      <xdr:rowOff>0</xdr:rowOff>
    </xdr:from>
    <xdr:to>
      <xdr:col>29</xdr:col>
      <xdr:colOff>260985</xdr:colOff>
      <xdr:row>16</xdr:row>
      <xdr:rowOff>101600</xdr:rowOff>
    </xdr:to>
    <xdr:pic>
      <xdr:nvPicPr>
        <xdr:cNvPr id="2" name="1 Imagen"/>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812125" y="200025"/>
          <a:ext cx="5594985" cy="3721100"/>
        </a:xfrm>
        <a:prstGeom prst="rect">
          <a:avLst/>
        </a:prstGeom>
        <a:noFill/>
        <a:ln>
          <a:solidFill>
            <a:schemeClr val="tx1"/>
          </a:solidFill>
        </a:ln>
      </xdr:spPr>
    </xdr:pic>
    <xdr:clientData/>
  </xdr:twoCellAnchor>
  <xdr:twoCellAnchor editAs="oneCell">
    <xdr:from>
      <xdr:col>22</xdr:col>
      <xdr:colOff>0</xdr:colOff>
      <xdr:row>18</xdr:row>
      <xdr:rowOff>0</xdr:rowOff>
    </xdr:from>
    <xdr:to>
      <xdr:col>29</xdr:col>
      <xdr:colOff>250825</xdr:colOff>
      <xdr:row>37</xdr:row>
      <xdr:rowOff>76200</xdr:rowOff>
    </xdr:to>
    <xdr:pic>
      <xdr:nvPicPr>
        <xdr:cNvPr id="3" name="2 Imagen"/>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812125" y="4229100"/>
          <a:ext cx="5584825" cy="3924300"/>
        </a:xfrm>
        <a:prstGeom prst="rect">
          <a:avLst/>
        </a:prstGeom>
        <a:noFill/>
        <a:ln>
          <a:solidFill>
            <a:schemeClr val="tx1"/>
          </a:solidFill>
        </a:ln>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0</xdr:colOff>
      <xdr:row>10</xdr:row>
      <xdr:rowOff>9525</xdr:rowOff>
    </xdr:from>
    <xdr:to>
      <xdr:col>6</xdr:col>
      <xdr:colOff>0</xdr:colOff>
      <xdr:row>26</xdr:row>
      <xdr:rowOff>157163</xdr:rowOff>
    </xdr:to>
    <xdr:graphicFrame macro="">
      <xdr:nvGraphicFramePr>
        <xdr:cNvPr id="2" name="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28575</xdr:colOff>
      <xdr:row>9</xdr:row>
      <xdr:rowOff>180975</xdr:rowOff>
    </xdr:from>
    <xdr:to>
      <xdr:col>12</xdr:col>
      <xdr:colOff>0</xdr:colOff>
      <xdr:row>26</xdr:row>
      <xdr:rowOff>157163</xdr:rowOff>
    </xdr:to>
    <xdr:graphicFrame macro="">
      <xdr:nvGraphicFramePr>
        <xdr:cNvPr id="3"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19050</xdr:colOff>
      <xdr:row>10</xdr:row>
      <xdr:rowOff>85725</xdr:rowOff>
    </xdr:from>
    <xdr:to>
      <xdr:col>18</xdr:col>
      <xdr:colOff>752475</xdr:colOff>
      <xdr:row>27</xdr:row>
      <xdr:rowOff>100013</xdr:rowOff>
    </xdr:to>
    <xdr:graphicFrame macro="">
      <xdr:nvGraphicFramePr>
        <xdr:cNvPr id="4" name="3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0</xdr:colOff>
      <xdr:row>10</xdr:row>
      <xdr:rowOff>0</xdr:rowOff>
    </xdr:from>
    <xdr:to>
      <xdr:col>25</xdr:col>
      <xdr:colOff>0</xdr:colOff>
      <xdr:row>27</xdr:row>
      <xdr:rowOff>114300</xdr:rowOff>
    </xdr:to>
    <xdr:graphicFrame macro="">
      <xdr:nvGraphicFramePr>
        <xdr:cNvPr id="5" name="4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38101</xdr:colOff>
      <xdr:row>10</xdr:row>
      <xdr:rowOff>19050</xdr:rowOff>
    </xdr:from>
    <xdr:to>
      <xdr:col>32</xdr:col>
      <xdr:colOff>0</xdr:colOff>
      <xdr:row>27</xdr:row>
      <xdr:rowOff>66675</xdr:rowOff>
    </xdr:to>
    <xdr:graphicFrame macro="">
      <xdr:nvGraphicFramePr>
        <xdr:cNvPr id="6" name="5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0</xdr:colOff>
      <xdr:row>10</xdr:row>
      <xdr:rowOff>0</xdr:rowOff>
    </xdr:from>
    <xdr:to>
      <xdr:col>39</xdr:col>
      <xdr:colOff>742950</xdr:colOff>
      <xdr:row>27</xdr:row>
      <xdr:rowOff>166687</xdr:rowOff>
    </xdr:to>
    <xdr:graphicFrame macro="">
      <xdr:nvGraphicFramePr>
        <xdr:cNvPr id="7" name="6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40</xdr:col>
      <xdr:colOff>742951</xdr:colOff>
      <xdr:row>9</xdr:row>
      <xdr:rowOff>161925</xdr:rowOff>
    </xdr:from>
    <xdr:to>
      <xdr:col>47</xdr:col>
      <xdr:colOff>9525</xdr:colOff>
      <xdr:row>27</xdr:row>
      <xdr:rowOff>161924</xdr:rowOff>
    </xdr:to>
    <xdr:graphicFrame macro="">
      <xdr:nvGraphicFramePr>
        <xdr:cNvPr id="8" name="7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53</xdr:col>
      <xdr:colOff>704851</xdr:colOff>
      <xdr:row>9</xdr:row>
      <xdr:rowOff>180975</xdr:rowOff>
    </xdr:from>
    <xdr:to>
      <xdr:col>59</xdr:col>
      <xdr:colOff>0</xdr:colOff>
      <xdr:row>28</xdr:row>
      <xdr:rowOff>9525</xdr:rowOff>
    </xdr:to>
    <xdr:graphicFrame macro="">
      <xdr:nvGraphicFramePr>
        <xdr:cNvPr id="9" name="8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71</xdr:col>
      <xdr:colOff>733425</xdr:colOff>
      <xdr:row>10</xdr:row>
      <xdr:rowOff>52387</xdr:rowOff>
    </xdr:from>
    <xdr:to>
      <xdr:col>79</xdr:col>
      <xdr:colOff>0</xdr:colOff>
      <xdr:row>28</xdr:row>
      <xdr:rowOff>9525</xdr:rowOff>
    </xdr:to>
    <xdr:graphicFrame macro="">
      <xdr:nvGraphicFramePr>
        <xdr:cNvPr id="10" name="9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60</xdr:col>
      <xdr:colOff>0</xdr:colOff>
      <xdr:row>10</xdr:row>
      <xdr:rowOff>0</xdr:rowOff>
    </xdr:from>
    <xdr:to>
      <xdr:col>65</xdr:col>
      <xdr:colOff>0</xdr:colOff>
      <xdr:row>27</xdr:row>
      <xdr:rowOff>185738</xdr:rowOff>
    </xdr:to>
    <xdr:graphicFrame macro="">
      <xdr:nvGraphicFramePr>
        <xdr:cNvPr id="11" name="10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66</xdr:col>
      <xdr:colOff>0</xdr:colOff>
      <xdr:row>10</xdr:row>
      <xdr:rowOff>0</xdr:rowOff>
    </xdr:from>
    <xdr:to>
      <xdr:col>69</xdr:col>
      <xdr:colOff>752475</xdr:colOff>
      <xdr:row>27</xdr:row>
      <xdr:rowOff>176213</xdr:rowOff>
    </xdr:to>
    <xdr:graphicFrame macro="">
      <xdr:nvGraphicFramePr>
        <xdr:cNvPr id="12" name="1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79</xdr:col>
      <xdr:colOff>676275</xdr:colOff>
      <xdr:row>10</xdr:row>
      <xdr:rowOff>14286</xdr:rowOff>
    </xdr:from>
    <xdr:to>
      <xdr:col>86</xdr:col>
      <xdr:colOff>0</xdr:colOff>
      <xdr:row>27</xdr:row>
      <xdr:rowOff>171449</xdr:rowOff>
    </xdr:to>
    <xdr:graphicFrame macro="">
      <xdr:nvGraphicFramePr>
        <xdr:cNvPr id="13" name="12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48</xdr:col>
      <xdr:colOff>0</xdr:colOff>
      <xdr:row>10</xdr:row>
      <xdr:rowOff>0</xdr:rowOff>
    </xdr:from>
    <xdr:to>
      <xdr:col>53</xdr:col>
      <xdr:colOff>0</xdr:colOff>
      <xdr:row>27</xdr:row>
      <xdr:rowOff>138113</xdr:rowOff>
    </xdr:to>
    <xdr:graphicFrame macro="">
      <xdr:nvGraphicFramePr>
        <xdr:cNvPr id="14" name="13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87</xdr:col>
      <xdr:colOff>9525</xdr:colOff>
      <xdr:row>10</xdr:row>
      <xdr:rowOff>14286</xdr:rowOff>
    </xdr:from>
    <xdr:to>
      <xdr:col>92</xdr:col>
      <xdr:colOff>0</xdr:colOff>
      <xdr:row>28</xdr:row>
      <xdr:rowOff>76199</xdr:rowOff>
    </xdr:to>
    <xdr:graphicFrame macro="">
      <xdr:nvGraphicFramePr>
        <xdr:cNvPr id="15" name="14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5.xml><?xml version="1.0" encoding="utf-8"?>
<c:userShapes xmlns:c="http://schemas.openxmlformats.org/drawingml/2006/chart">
  <cdr:relSizeAnchor xmlns:cdr="http://schemas.openxmlformats.org/drawingml/2006/chartDrawing">
    <cdr:from>
      <cdr:x>0.01552</cdr:x>
      <cdr:y>0.17586</cdr:y>
    </cdr:from>
    <cdr:to>
      <cdr:x>0.06618</cdr:x>
      <cdr:y>0.71833</cdr:y>
    </cdr:to>
    <cdr:sp macro="" textlink="">
      <cdr:nvSpPr>
        <cdr:cNvPr id="2" name="1 CuadroTexto"/>
        <cdr:cNvSpPr txBox="1"/>
      </cdr:nvSpPr>
      <cdr:spPr>
        <a:xfrm xmlns:a="http://schemas.openxmlformats.org/drawingml/2006/main" rot="16200000">
          <a:off x="-628651" y="1281113"/>
          <a:ext cx="1733551" cy="2952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a:t>Porcentaje de Menciones</a:t>
          </a:r>
        </a:p>
      </cdr:txBody>
    </cdr:sp>
  </cdr:relSizeAnchor>
  <cdr:relSizeAnchor xmlns:cdr="http://schemas.openxmlformats.org/drawingml/2006/chartDrawing">
    <cdr:from>
      <cdr:x>0.01797</cdr:x>
      <cdr:y>0.02534</cdr:y>
    </cdr:from>
    <cdr:to>
      <cdr:x>0.97549</cdr:x>
      <cdr:y>0.2161</cdr:y>
    </cdr:to>
    <cdr:sp macro="" textlink="">
      <cdr:nvSpPr>
        <cdr:cNvPr id="3" name="2 CuadroTexto"/>
        <cdr:cNvSpPr txBox="1"/>
      </cdr:nvSpPr>
      <cdr:spPr>
        <a:xfrm xmlns:a="http://schemas.openxmlformats.org/drawingml/2006/main">
          <a:off x="104775" y="80963"/>
          <a:ext cx="5581650" cy="609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GRÁFICO </a:t>
          </a:r>
          <a:r>
            <a:rPr lang="es-CL" sz="1100" b="1" baseline="0"/>
            <a:t> 26</a:t>
          </a:r>
          <a:endParaRPr lang="es-CL" sz="1100" b="1"/>
        </a:p>
        <a:p xmlns:a="http://schemas.openxmlformats.org/drawingml/2006/main">
          <a:r>
            <a:rPr lang="es-CL" sz="1100" b="0"/>
            <a:t>¿Cuán Importante</a:t>
          </a:r>
          <a:r>
            <a:rPr lang="es-CL" sz="1100" b="0" baseline="0"/>
            <a:t> cree Ud. que es  establecer una Nueva Constitución para Chile?</a:t>
          </a:r>
          <a:endParaRPr lang="es-CL" sz="1100" b="0"/>
        </a:p>
      </cdr:txBody>
    </cdr:sp>
  </cdr:relSizeAnchor>
  <cdr:relSizeAnchor xmlns:cdr="http://schemas.openxmlformats.org/drawingml/2006/chartDrawing">
    <cdr:from>
      <cdr:x>0.02124</cdr:x>
      <cdr:y>0.91654</cdr:y>
    </cdr:from>
    <cdr:to>
      <cdr:x>0.77778</cdr:x>
      <cdr:y>1</cdr:y>
    </cdr:to>
    <cdr:sp macro="" textlink="">
      <cdr:nvSpPr>
        <cdr:cNvPr id="4" name="3 CuadroTexto"/>
        <cdr:cNvSpPr txBox="1"/>
      </cdr:nvSpPr>
      <cdr:spPr>
        <a:xfrm xmlns:a="http://schemas.openxmlformats.org/drawingml/2006/main">
          <a:off x="123825" y="2928938"/>
          <a:ext cx="4410075"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Fuente: </a:t>
          </a:r>
          <a:r>
            <a:rPr lang="es-CL" sz="1100" b="0"/>
            <a:t> Encuesta Nacional de Opinión Pública</a:t>
          </a:r>
          <a:r>
            <a:rPr lang="es-CL" sz="1100" b="0" baseline="0"/>
            <a:t> UDP, 2013.</a:t>
          </a:r>
          <a:endParaRPr lang="es-CL" sz="1100" b="1"/>
        </a:p>
      </cdr:txBody>
    </cdr:sp>
  </cdr:relSizeAnchor>
</c:userShapes>
</file>

<file path=xl/drawings/drawing36.xml><?xml version="1.0" encoding="utf-8"?>
<c:userShapes xmlns:c="http://schemas.openxmlformats.org/drawingml/2006/chart">
  <cdr:relSizeAnchor xmlns:cdr="http://schemas.openxmlformats.org/drawingml/2006/chartDrawing">
    <cdr:from>
      <cdr:x>0.00592</cdr:x>
      <cdr:y>0.16691</cdr:y>
    </cdr:from>
    <cdr:to>
      <cdr:x>0.06098</cdr:x>
      <cdr:y>0.70617</cdr:y>
    </cdr:to>
    <cdr:sp macro="" textlink="">
      <cdr:nvSpPr>
        <cdr:cNvPr id="2" name="1 CuadroTexto"/>
        <cdr:cNvSpPr txBox="1"/>
      </cdr:nvSpPr>
      <cdr:spPr>
        <a:xfrm xmlns:a="http://schemas.openxmlformats.org/drawingml/2006/main" rot="16200000">
          <a:off x="-687388" y="1255713"/>
          <a:ext cx="1733551" cy="29527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cdr:x>
      <cdr:y>0.0158</cdr:y>
    </cdr:from>
    <cdr:to>
      <cdr:x>1</cdr:x>
      <cdr:y>0.20543</cdr:y>
    </cdr:to>
    <cdr:sp macro="" textlink="">
      <cdr:nvSpPr>
        <cdr:cNvPr id="3" name="1 CuadroTexto"/>
        <cdr:cNvSpPr txBox="1"/>
      </cdr:nvSpPr>
      <cdr:spPr>
        <a:xfrm xmlns:a="http://schemas.openxmlformats.org/drawingml/2006/main">
          <a:off x="50800" y="50800"/>
          <a:ext cx="5581650" cy="609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27</a:t>
          </a:r>
        </a:p>
        <a:p xmlns:a="http://schemas.openxmlformats.org/drawingml/2006/main">
          <a:r>
            <a:rPr lang="es-CL" sz="1100" b="0"/>
            <a:t>Importancia</a:t>
          </a:r>
          <a:r>
            <a:rPr lang="es-CL" sz="1100" b="0" baseline="0"/>
            <a:t> de Aprobar una Nueva Constitución según Sexo</a:t>
          </a:r>
          <a:endParaRPr lang="es-CL" sz="1100" b="0"/>
        </a:p>
      </cdr:txBody>
    </cdr:sp>
  </cdr:relSizeAnchor>
  <cdr:relSizeAnchor xmlns:cdr="http://schemas.openxmlformats.org/drawingml/2006/chartDrawing">
    <cdr:from>
      <cdr:x>0.02013</cdr:x>
      <cdr:y>0.91704</cdr:y>
    </cdr:from>
    <cdr:to>
      <cdr:x>0.84251</cdr:x>
      <cdr:y>1</cdr:y>
    </cdr:to>
    <cdr:sp macro="" textlink="">
      <cdr:nvSpPr>
        <cdr:cNvPr id="4" name="1 CuadroTexto"/>
        <cdr:cNvSpPr txBox="1"/>
      </cdr:nvSpPr>
      <cdr:spPr>
        <a:xfrm xmlns:a="http://schemas.openxmlformats.org/drawingml/2006/main">
          <a:off x="107950" y="2947988"/>
          <a:ext cx="4410075"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 Encuesta Nacional de Opinión Pública</a:t>
          </a:r>
          <a:r>
            <a:rPr lang="es-CL" sz="1100" b="0" baseline="0"/>
            <a:t> UDP, 2013.</a:t>
          </a:r>
          <a:endParaRPr lang="es-CL" sz="1100" b="1"/>
        </a:p>
      </cdr:txBody>
    </cdr:sp>
  </cdr:relSizeAnchor>
</c:userShapes>
</file>

<file path=xl/drawings/drawing37.xml><?xml version="1.0" encoding="utf-8"?>
<c:userShapes xmlns:c="http://schemas.openxmlformats.org/drawingml/2006/chart">
  <cdr:relSizeAnchor xmlns:cdr="http://schemas.openxmlformats.org/drawingml/2006/chartDrawing">
    <cdr:from>
      <cdr:x>0.00593</cdr:x>
      <cdr:y>0.01562</cdr:y>
    </cdr:from>
    <cdr:to>
      <cdr:x>0.63218</cdr:x>
      <cdr:y>0.20303</cdr:y>
    </cdr:to>
    <cdr:sp macro="" textlink="">
      <cdr:nvSpPr>
        <cdr:cNvPr id="2" name="1 CuadroTexto"/>
        <cdr:cNvSpPr txBox="1"/>
      </cdr:nvSpPr>
      <cdr:spPr>
        <a:xfrm xmlns:a="http://schemas.openxmlformats.org/drawingml/2006/main">
          <a:off x="50800" y="50800"/>
          <a:ext cx="5362575" cy="609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28</a:t>
          </a:r>
        </a:p>
        <a:p xmlns:a="http://schemas.openxmlformats.org/drawingml/2006/main">
          <a:r>
            <a:rPr lang="es-CL" sz="1100" b="0"/>
            <a:t>Importancia</a:t>
          </a:r>
          <a:r>
            <a:rPr lang="es-CL" sz="1100" b="0" baseline="0"/>
            <a:t> de Aprobar una Nueva Constitución según Tramos de Edad</a:t>
          </a:r>
          <a:endParaRPr lang="es-CL" sz="1100" b="0"/>
        </a:p>
      </cdr:txBody>
    </cdr:sp>
  </cdr:relSizeAnchor>
  <cdr:relSizeAnchor xmlns:cdr="http://schemas.openxmlformats.org/drawingml/2006/chartDrawing">
    <cdr:from>
      <cdr:x>0.00371</cdr:x>
      <cdr:y>0.16789</cdr:y>
    </cdr:from>
    <cdr:to>
      <cdr:x>0.03819</cdr:x>
      <cdr:y>0.70083</cdr:y>
    </cdr:to>
    <cdr:sp macro="" textlink="">
      <cdr:nvSpPr>
        <cdr:cNvPr id="3" name="1 CuadroTexto"/>
        <cdr:cNvSpPr txBox="1"/>
      </cdr:nvSpPr>
      <cdr:spPr>
        <a:xfrm xmlns:a="http://schemas.openxmlformats.org/drawingml/2006/main" rot="16200000">
          <a:off x="-687388" y="1265238"/>
          <a:ext cx="1733551" cy="29527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0.01483</cdr:x>
      <cdr:y>0.91459</cdr:y>
    </cdr:from>
    <cdr:to>
      <cdr:x>0.52985</cdr:x>
      <cdr:y>0.99658</cdr:y>
    </cdr:to>
    <cdr:sp macro="" textlink="">
      <cdr:nvSpPr>
        <cdr:cNvPr id="4" name="1 CuadroTexto"/>
        <cdr:cNvSpPr txBox="1"/>
      </cdr:nvSpPr>
      <cdr:spPr>
        <a:xfrm xmlns:a="http://schemas.openxmlformats.org/drawingml/2006/main">
          <a:off x="127000" y="2974975"/>
          <a:ext cx="4410075"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 Encuesta Nacional de Opinión Pública</a:t>
          </a:r>
          <a:r>
            <a:rPr lang="es-CL" sz="1100" b="0" baseline="0"/>
            <a:t> UDP, 2013.</a:t>
          </a:r>
          <a:endParaRPr lang="es-CL" sz="1100" b="1"/>
        </a:p>
      </cdr:txBody>
    </cdr:sp>
  </cdr:relSizeAnchor>
</c:userShapes>
</file>

<file path=xl/drawings/drawing38.xml><?xml version="1.0" encoding="utf-8"?>
<c:userShapes xmlns:c="http://schemas.openxmlformats.org/drawingml/2006/chart">
  <cdr:relSizeAnchor xmlns:cdr="http://schemas.openxmlformats.org/drawingml/2006/chartDrawing">
    <cdr:from>
      <cdr:x>0.00594</cdr:x>
      <cdr:y>0.01553</cdr:y>
    </cdr:from>
    <cdr:to>
      <cdr:x>0.63289</cdr:x>
      <cdr:y>0.20184</cdr:y>
    </cdr:to>
    <cdr:sp macro="" textlink="">
      <cdr:nvSpPr>
        <cdr:cNvPr id="2" name="1 CuadroTexto"/>
        <cdr:cNvSpPr txBox="1"/>
      </cdr:nvSpPr>
      <cdr:spPr>
        <a:xfrm xmlns:a="http://schemas.openxmlformats.org/drawingml/2006/main">
          <a:off x="50800" y="50800"/>
          <a:ext cx="5362575" cy="609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29</a:t>
          </a:r>
        </a:p>
        <a:p xmlns:a="http://schemas.openxmlformats.org/drawingml/2006/main">
          <a:r>
            <a:rPr lang="es-CL" sz="1100" b="0"/>
            <a:t>Importancia</a:t>
          </a:r>
          <a:r>
            <a:rPr lang="es-CL" sz="1100" b="0" baseline="0"/>
            <a:t> de Aprobar una Nueva Constitución según Máximo Nivel Educativo Alcanzado</a:t>
          </a:r>
          <a:endParaRPr lang="es-CL" sz="1100" b="0"/>
        </a:p>
      </cdr:txBody>
    </cdr:sp>
  </cdr:relSizeAnchor>
  <cdr:relSizeAnchor xmlns:cdr="http://schemas.openxmlformats.org/drawingml/2006/chartDrawing">
    <cdr:from>
      <cdr:x>0.00594</cdr:x>
      <cdr:y>0.19041</cdr:y>
    </cdr:from>
    <cdr:to>
      <cdr:x>0.04046</cdr:x>
      <cdr:y>0.72025</cdr:y>
    </cdr:to>
    <cdr:sp macro="" textlink="">
      <cdr:nvSpPr>
        <cdr:cNvPr id="3" name="1 CuadroTexto"/>
        <cdr:cNvSpPr txBox="1"/>
      </cdr:nvSpPr>
      <cdr:spPr>
        <a:xfrm xmlns:a="http://schemas.openxmlformats.org/drawingml/2006/main" rot="16200000">
          <a:off x="-689784" y="1378989"/>
          <a:ext cx="1776447" cy="29526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0.01819</cdr:x>
      <cdr:y>0.91849</cdr:y>
    </cdr:from>
    <cdr:to>
      <cdr:x>0.53378</cdr:x>
      <cdr:y>1</cdr:y>
    </cdr:to>
    <cdr:sp macro="" textlink="">
      <cdr:nvSpPr>
        <cdr:cNvPr id="5" name="1 CuadroTexto"/>
        <cdr:cNvSpPr txBox="1"/>
      </cdr:nvSpPr>
      <cdr:spPr>
        <a:xfrm xmlns:a="http://schemas.openxmlformats.org/drawingml/2006/main">
          <a:off x="155575" y="3005139"/>
          <a:ext cx="4410075"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 Encuesta Nacional de Opinión Pública</a:t>
          </a:r>
          <a:r>
            <a:rPr lang="es-CL" sz="1100" b="0" baseline="0"/>
            <a:t> UDP, 2013.</a:t>
          </a:r>
          <a:endParaRPr lang="es-CL" sz="1100" b="1"/>
        </a:p>
      </cdr:txBody>
    </cdr:sp>
  </cdr:relSizeAnchor>
</c:userShapes>
</file>

<file path=xl/drawings/drawing39.xml><?xml version="1.0" encoding="utf-8"?>
<c:userShapes xmlns:c="http://schemas.openxmlformats.org/drawingml/2006/chart">
  <cdr:relSizeAnchor xmlns:cdr="http://schemas.openxmlformats.org/drawingml/2006/chartDrawing">
    <cdr:from>
      <cdr:x>0.00764</cdr:x>
      <cdr:y>0.01546</cdr:y>
    </cdr:from>
    <cdr:to>
      <cdr:x>0.81423</cdr:x>
      <cdr:y>0.20097</cdr:y>
    </cdr:to>
    <cdr:sp macro="" textlink="">
      <cdr:nvSpPr>
        <cdr:cNvPr id="2" name="1 CuadroTexto"/>
        <cdr:cNvSpPr txBox="1"/>
      </cdr:nvSpPr>
      <cdr:spPr>
        <a:xfrm xmlns:a="http://schemas.openxmlformats.org/drawingml/2006/main">
          <a:off x="50800" y="50800"/>
          <a:ext cx="5362575" cy="609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30</a:t>
          </a:r>
        </a:p>
        <a:p xmlns:a="http://schemas.openxmlformats.org/drawingml/2006/main">
          <a:r>
            <a:rPr lang="es-CL" sz="1100" b="0"/>
            <a:t>Importancia</a:t>
          </a:r>
          <a:r>
            <a:rPr lang="es-CL" sz="1100" b="0" baseline="0"/>
            <a:t> de Aprobar una Nueva Constitución según Pertenencia a un Pueblo Originario</a:t>
          </a:r>
          <a:endParaRPr lang="es-CL" sz="1100" b="0"/>
        </a:p>
      </cdr:txBody>
    </cdr:sp>
  </cdr:relSizeAnchor>
  <cdr:relSizeAnchor xmlns:cdr="http://schemas.openxmlformats.org/drawingml/2006/chartDrawing">
    <cdr:from>
      <cdr:x>0.00764</cdr:x>
      <cdr:y>0.20966</cdr:y>
    </cdr:from>
    <cdr:to>
      <cdr:x>0.05205</cdr:x>
      <cdr:y>0.7372</cdr:y>
    </cdr:to>
    <cdr:sp macro="" textlink="">
      <cdr:nvSpPr>
        <cdr:cNvPr id="3" name="1 CuadroTexto"/>
        <cdr:cNvSpPr txBox="1"/>
      </cdr:nvSpPr>
      <cdr:spPr>
        <a:xfrm xmlns:a="http://schemas.openxmlformats.org/drawingml/2006/main" rot="16200000">
          <a:off x="-668338" y="1408113"/>
          <a:ext cx="1733551" cy="29527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0.01624</cdr:x>
      <cdr:y>0.91884</cdr:y>
    </cdr:from>
    <cdr:to>
      <cdr:x>0.67956</cdr:x>
      <cdr:y>1</cdr:y>
    </cdr:to>
    <cdr:sp macro="" textlink="">
      <cdr:nvSpPr>
        <cdr:cNvPr id="4" name="1 CuadroTexto"/>
        <cdr:cNvSpPr txBox="1"/>
      </cdr:nvSpPr>
      <cdr:spPr>
        <a:xfrm xmlns:a="http://schemas.openxmlformats.org/drawingml/2006/main">
          <a:off x="107950" y="3019425"/>
          <a:ext cx="4410075"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 Encuesta Nacional de Opinión Pública</a:t>
          </a:r>
          <a:r>
            <a:rPr lang="es-CL" sz="1100" b="0" baseline="0"/>
            <a:t> UDP, 2013.</a:t>
          </a:r>
          <a:endParaRPr lang="es-CL" sz="1100" b="1"/>
        </a:p>
      </cdr:txBody>
    </cdr:sp>
  </cdr:relSizeAnchor>
</c:userShapes>
</file>

<file path=xl/drawings/drawing40.xml><?xml version="1.0" encoding="utf-8"?>
<c:userShapes xmlns:c="http://schemas.openxmlformats.org/drawingml/2006/chart">
  <cdr:relSizeAnchor xmlns:cdr="http://schemas.openxmlformats.org/drawingml/2006/chartDrawing">
    <cdr:from>
      <cdr:x>0.00271</cdr:x>
      <cdr:y>0.19394</cdr:y>
    </cdr:from>
    <cdr:to>
      <cdr:x>0.04101</cdr:x>
      <cdr:y>0.70303</cdr:y>
    </cdr:to>
    <cdr:sp macro="" textlink="">
      <cdr:nvSpPr>
        <cdr:cNvPr id="2" name="1 CuadroTexto"/>
        <cdr:cNvSpPr txBox="1"/>
      </cdr:nvSpPr>
      <cdr:spPr>
        <a:xfrm xmlns:a="http://schemas.openxmlformats.org/drawingml/2006/main" rot="16200000">
          <a:off x="-687535" y="1370126"/>
          <a:ext cx="1733547" cy="3141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0.02478</cdr:x>
      <cdr:y>0.92168</cdr:y>
    </cdr:from>
    <cdr:to>
      <cdr:x>0.56252</cdr:x>
      <cdr:y>1</cdr:y>
    </cdr:to>
    <cdr:sp macro="" textlink="">
      <cdr:nvSpPr>
        <cdr:cNvPr id="3" name="1 CuadroTexto"/>
        <cdr:cNvSpPr txBox="1"/>
      </cdr:nvSpPr>
      <cdr:spPr>
        <a:xfrm xmlns:a="http://schemas.openxmlformats.org/drawingml/2006/main">
          <a:off x="203200" y="3138487"/>
          <a:ext cx="4410075"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 Encuesta Nacional de Opinión Pública</a:t>
          </a:r>
          <a:r>
            <a:rPr lang="es-CL" sz="1100" b="0" baseline="0"/>
            <a:t> UDP, 2013.</a:t>
          </a:r>
          <a:endParaRPr lang="es-CL" sz="1100" b="1"/>
        </a:p>
      </cdr:txBody>
    </cdr:sp>
  </cdr:relSizeAnchor>
  <cdr:relSizeAnchor xmlns:cdr="http://schemas.openxmlformats.org/drawingml/2006/chartDrawing">
    <cdr:from>
      <cdr:x>0.02594</cdr:x>
      <cdr:y>0</cdr:y>
    </cdr:from>
    <cdr:to>
      <cdr:x>0.67983</cdr:x>
      <cdr:y>0.17902</cdr:y>
    </cdr:to>
    <cdr:sp macro="" textlink="">
      <cdr:nvSpPr>
        <cdr:cNvPr id="4" name="1 CuadroTexto"/>
        <cdr:cNvSpPr txBox="1"/>
      </cdr:nvSpPr>
      <cdr:spPr>
        <a:xfrm xmlns:a="http://schemas.openxmlformats.org/drawingml/2006/main">
          <a:off x="212725" y="0"/>
          <a:ext cx="5362575" cy="609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31</a:t>
          </a:r>
        </a:p>
        <a:p xmlns:a="http://schemas.openxmlformats.org/drawingml/2006/main">
          <a:r>
            <a:rPr lang="es-CL" sz="1100" b="0"/>
            <a:t>Importancia</a:t>
          </a:r>
          <a:r>
            <a:rPr lang="es-CL" sz="1100" b="0" baseline="0"/>
            <a:t> de Aprobar una Nueva Constitución según Posición Política </a:t>
          </a:r>
          <a:endParaRPr lang="es-CL" sz="1100" b="0"/>
        </a:p>
      </cdr:txBody>
    </cdr:sp>
  </cdr:relSizeAnchor>
</c:userShapes>
</file>

<file path=xl/drawings/drawing41.xml><?xml version="1.0" encoding="utf-8"?>
<c:userShapes xmlns:c="http://schemas.openxmlformats.org/drawingml/2006/chart">
  <cdr:relSizeAnchor xmlns:cdr="http://schemas.openxmlformats.org/drawingml/2006/chartDrawing">
    <cdr:from>
      <cdr:x>0.00633</cdr:x>
      <cdr:y>0.2037</cdr:y>
    </cdr:from>
    <cdr:to>
      <cdr:x>0.05489</cdr:x>
      <cdr:y>0.70926</cdr:y>
    </cdr:to>
    <cdr:sp macro="" textlink="">
      <cdr:nvSpPr>
        <cdr:cNvPr id="2" name="1 CuadroTexto"/>
        <cdr:cNvSpPr txBox="1"/>
      </cdr:nvSpPr>
      <cdr:spPr>
        <a:xfrm xmlns:a="http://schemas.openxmlformats.org/drawingml/2006/main" rot="16200000">
          <a:off x="-621275" y="1370543"/>
          <a:ext cx="1733565" cy="38945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0.00785</cdr:x>
      <cdr:y>0.01481</cdr:y>
    </cdr:from>
    <cdr:to>
      <cdr:x>0.83702</cdr:x>
      <cdr:y>0.19259</cdr:y>
    </cdr:to>
    <cdr:sp macro="" textlink="">
      <cdr:nvSpPr>
        <cdr:cNvPr id="3" name="1 CuadroTexto"/>
        <cdr:cNvSpPr txBox="1"/>
      </cdr:nvSpPr>
      <cdr:spPr>
        <a:xfrm xmlns:a="http://schemas.openxmlformats.org/drawingml/2006/main">
          <a:off x="50800" y="50800"/>
          <a:ext cx="5362575" cy="609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32</a:t>
          </a:r>
        </a:p>
        <a:p xmlns:a="http://schemas.openxmlformats.org/drawingml/2006/main">
          <a:r>
            <a:rPr lang="es-CL" sz="1100" b="0"/>
            <a:t>Importancia</a:t>
          </a:r>
          <a:r>
            <a:rPr lang="es-CL" sz="1100" b="0" baseline="0"/>
            <a:t> de Aprobar una Nueva Constitución según Interés en la Política</a:t>
          </a:r>
          <a:endParaRPr lang="es-CL" sz="1100" b="0"/>
        </a:p>
      </cdr:txBody>
    </cdr:sp>
  </cdr:relSizeAnchor>
  <cdr:relSizeAnchor xmlns:cdr="http://schemas.openxmlformats.org/drawingml/2006/chartDrawing">
    <cdr:from>
      <cdr:x>0.02847</cdr:x>
      <cdr:y>0.92222</cdr:y>
    </cdr:from>
    <cdr:to>
      <cdr:x>0.71036</cdr:x>
      <cdr:y>1</cdr:y>
    </cdr:to>
    <cdr:sp macro="" textlink="">
      <cdr:nvSpPr>
        <cdr:cNvPr id="4" name="1 CuadroTexto"/>
        <cdr:cNvSpPr txBox="1"/>
      </cdr:nvSpPr>
      <cdr:spPr>
        <a:xfrm xmlns:a="http://schemas.openxmlformats.org/drawingml/2006/main">
          <a:off x="184150" y="3162299"/>
          <a:ext cx="4410075"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 Encuesta Nacional de Opinión Pública</a:t>
          </a:r>
          <a:r>
            <a:rPr lang="es-CL" sz="1100" b="0" baseline="0"/>
            <a:t> UDP, 2013.</a:t>
          </a:r>
          <a:endParaRPr lang="es-CL" sz="1100" b="1"/>
        </a:p>
      </cdr:txBody>
    </cdr:sp>
  </cdr:relSizeAnchor>
</c:userShapes>
</file>

<file path=xl/drawings/drawing42.xml><?xml version="1.0" encoding="utf-8"?>
<c:userShapes xmlns:c="http://schemas.openxmlformats.org/drawingml/2006/chart">
  <cdr:relSizeAnchor xmlns:cdr="http://schemas.openxmlformats.org/drawingml/2006/chartDrawing">
    <cdr:from>
      <cdr:x>0.00737</cdr:x>
      <cdr:y>0.17301</cdr:y>
    </cdr:from>
    <cdr:to>
      <cdr:x>0.06384</cdr:x>
      <cdr:y>0.68642</cdr:y>
    </cdr:to>
    <cdr:sp macro="" textlink="">
      <cdr:nvSpPr>
        <cdr:cNvPr id="2" name="1 CuadroTexto"/>
        <cdr:cNvSpPr txBox="1"/>
      </cdr:nvSpPr>
      <cdr:spPr>
        <a:xfrm xmlns:a="http://schemas.openxmlformats.org/drawingml/2006/main" rot="16200000">
          <a:off x="-621256" y="1256256"/>
          <a:ext cx="1733565" cy="38945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0.00737</cdr:x>
      <cdr:y>0.01504</cdr:y>
    </cdr:from>
    <cdr:to>
      <cdr:x>0.97168</cdr:x>
      <cdr:y>0.19558</cdr:y>
    </cdr:to>
    <cdr:sp macro="" textlink="">
      <cdr:nvSpPr>
        <cdr:cNvPr id="3" name="1 CuadroTexto"/>
        <cdr:cNvSpPr txBox="1"/>
      </cdr:nvSpPr>
      <cdr:spPr>
        <a:xfrm xmlns:a="http://schemas.openxmlformats.org/drawingml/2006/main">
          <a:off x="50800" y="50800"/>
          <a:ext cx="6649986" cy="60960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34</a:t>
          </a:r>
        </a:p>
        <a:p xmlns:a="http://schemas.openxmlformats.org/drawingml/2006/main">
          <a:r>
            <a:rPr lang="es-CL" sz="1100" b="0"/>
            <a:t>Importancia</a:t>
          </a:r>
          <a:r>
            <a:rPr lang="es-CL" sz="1100" b="0" baseline="0"/>
            <a:t> de Aprobar una Nueva Constitución según Confianza en las Instituciones</a:t>
          </a:r>
          <a:endParaRPr lang="es-CL" sz="1100" b="0"/>
        </a:p>
      </cdr:txBody>
    </cdr:sp>
  </cdr:relSizeAnchor>
  <cdr:relSizeAnchor xmlns:cdr="http://schemas.openxmlformats.org/drawingml/2006/chartDrawing">
    <cdr:from>
      <cdr:x>0</cdr:x>
      <cdr:y>0.92101</cdr:y>
    </cdr:from>
    <cdr:to>
      <cdr:x>0.79303</cdr:x>
      <cdr:y>1</cdr:y>
    </cdr:to>
    <cdr:sp macro="" textlink="">
      <cdr:nvSpPr>
        <cdr:cNvPr id="4" name="1 CuadroTexto"/>
        <cdr:cNvSpPr txBox="1"/>
      </cdr:nvSpPr>
      <cdr:spPr>
        <a:xfrm xmlns:a="http://schemas.openxmlformats.org/drawingml/2006/main">
          <a:off x="0" y="3109905"/>
          <a:ext cx="5468792" cy="26670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 Encuesta Nacional de Opinión Pública</a:t>
          </a:r>
          <a:r>
            <a:rPr lang="es-CL" sz="1100" b="0" baseline="0"/>
            <a:t> UDP, 2013.</a:t>
          </a:r>
          <a:endParaRPr lang="es-CL" sz="1100" b="1"/>
        </a:p>
      </cdr:txBody>
    </cdr:sp>
  </cdr:relSizeAnchor>
</c:userShapes>
</file>

<file path=xl/drawings/drawing43.xml><?xml version="1.0" encoding="utf-8"?>
<c:userShapes xmlns:c="http://schemas.openxmlformats.org/drawingml/2006/chart">
  <cdr:relSizeAnchor xmlns:cdr="http://schemas.openxmlformats.org/drawingml/2006/chartDrawing">
    <cdr:from>
      <cdr:x>0</cdr:x>
      <cdr:y>0.92124</cdr:y>
    </cdr:from>
    <cdr:to>
      <cdr:x>0.89992</cdr:x>
      <cdr:y>1</cdr:y>
    </cdr:to>
    <cdr:sp macro="" textlink="">
      <cdr:nvSpPr>
        <cdr:cNvPr id="2" name="1 CuadroTexto"/>
        <cdr:cNvSpPr txBox="1"/>
      </cdr:nvSpPr>
      <cdr:spPr>
        <a:xfrm xmlns:a="http://schemas.openxmlformats.org/drawingml/2006/main">
          <a:off x="0" y="3119430"/>
          <a:ext cx="5468792" cy="26670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 Encuesta Nacional de Opinión Pública</a:t>
          </a:r>
          <a:r>
            <a:rPr lang="es-CL" sz="1100" b="0" baseline="0"/>
            <a:t> UDP, 2013.</a:t>
          </a:r>
          <a:endParaRPr lang="es-CL" sz="1100" b="1"/>
        </a:p>
      </cdr:txBody>
    </cdr:sp>
  </cdr:relSizeAnchor>
  <cdr:relSizeAnchor xmlns:cdr="http://schemas.openxmlformats.org/drawingml/2006/chartDrawing">
    <cdr:from>
      <cdr:x>0</cdr:x>
      <cdr:y>0.015</cdr:y>
    </cdr:from>
    <cdr:to>
      <cdr:x>1</cdr:x>
      <cdr:y>0.19503</cdr:y>
    </cdr:to>
    <cdr:sp macro="" textlink="">
      <cdr:nvSpPr>
        <cdr:cNvPr id="3" name="1 CuadroTexto"/>
        <cdr:cNvSpPr txBox="1"/>
      </cdr:nvSpPr>
      <cdr:spPr>
        <a:xfrm xmlns:a="http://schemas.openxmlformats.org/drawingml/2006/main">
          <a:off x="50800" y="50800"/>
          <a:ext cx="6649986" cy="60960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37</a:t>
          </a:r>
        </a:p>
        <a:p xmlns:a="http://schemas.openxmlformats.org/drawingml/2006/main">
          <a:r>
            <a:rPr lang="es-CL" sz="1100" b="0"/>
            <a:t>Importancia</a:t>
          </a:r>
          <a:r>
            <a:rPr lang="es-CL" sz="1100" b="0" baseline="0"/>
            <a:t> de Aprobar una Nueva Constitución según Participación Electoral Pasada</a:t>
          </a:r>
          <a:endParaRPr lang="es-CL" sz="1100" b="0"/>
        </a:p>
      </cdr:txBody>
    </cdr:sp>
  </cdr:relSizeAnchor>
  <cdr:relSizeAnchor xmlns:cdr="http://schemas.openxmlformats.org/drawingml/2006/chartDrawing">
    <cdr:from>
      <cdr:x>0.00366</cdr:x>
      <cdr:y>0.18097</cdr:y>
    </cdr:from>
    <cdr:to>
      <cdr:x>0.06774</cdr:x>
      <cdr:y>0.69292</cdr:y>
    </cdr:to>
    <cdr:sp macro="" textlink="">
      <cdr:nvSpPr>
        <cdr:cNvPr id="4" name="1 CuadroTexto"/>
        <cdr:cNvSpPr txBox="1"/>
      </cdr:nvSpPr>
      <cdr:spPr>
        <a:xfrm xmlns:a="http://schemas.openxmlformats.org/drawingml/2006/main" rot="16200000">
          <a:off x="-649846" y="1284846"/>
          <a:ext cx="1733547" cy="38940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userShapes>
</file>

<file path=xl/drawings/drawing44.xml><?xml version="1.0" encoding="utf-8"?>
<c:userShapes xmlns:c="http://schemas.openxmlformats.org/drawingml/2006/chart">
  <cdr:relSizeAnchor xmlns:cdr="http://schemas.openxmlformats.org/drawingml/2006/chartDrawing">
    <cdr:from>
      <cdr:x>0</cdr:x>
      <cdr:y>0.92211</cdr:y>
    </cdr:from>
    <cdr:to>
      <cdr:x>1</cdr:x>
      <cdr:y>1</cdr:y>
    </cdr:to>
    <cdr:sp macro="" textlink="">
      <cdr:nvSpPr>
        <cdr:cNvPr id="2" name="1 CuadroTexto"/>
        <cdr:cNvSpPr txBox="1"/>
      </cdr:nvSpPr>
      <cdr:spPr>
        <a:xfrm xmlns:a="http://schemas.openxmlformats.org/drawingml/2006/main">
          <a:off x="0" y="3157538"/>
          <a:ext cx="5372100"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 Encuesta Nacional de Opinión Pública</a:t>
          </a:r>
          <a:r>
            <a:rPr lang="es-CL" sz="1100" b="0" baseline="0"/>
            <a:t> UDP, 2013.</a:t>
          </a:r>
          <a:endParaRPr lang="es-CL" sz="1100" b="1"/>
        </a:p>
      </cdr:txBody>
    </cdr:sp>
  </cdr:relSizeAnchor>
  <cdr:relSizeAnchor xmlns:cdr="http://schemas.openxmlformats.org/drawingml/2006/chartDrawing">
    <cdr:from>
      <cdr:x>0</cdr:x>
      <cdr:y>0.01484</cdr:y>
    </cdr:from>
    <cdr:to>
      <cdr:x>1</cdr:x>
      <cdr:y>0.19286</cdr:y>
    </cdr:to>
    <cdr:sp macro="" textlink="">
      <cdr:nvSpPr>
        <cdr:cNvPr id="3" name="1 CuadroTexto"/>
        <cdr:cNvSpPr txBox="1"/>
      </cdr:nvSpPr>
      <cdr:spPr>
        <a:xfrm xmlns:a="http://schemas.openxmlformats.org/drawingml/2006/main">
          <a:off x="50800" y="50800"/>
          <a:ext cx="6649909" cy="609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35</a:t>
          </a:r>
        </a:p>
        <a:p xmlns:a="http://schemas.openxmlformats.org/drawingml/2006/main">
          <a:r>
            <a:rPr lang="es-CL" sz="1100" b="0"/>
            <a:t>Importancia</a:t>
          </a:r>
          <a:r>
            <a:rPr lang="es-CL" sz="1100" b="0" baseline="0"/>
            <a:t> de Aprobar una Nueva Constitución según Apoyo a Gratuidad en Educación</a:t>
          </a:r>
          <a:endParaRPr lang="es-CL" sz="1100" b="0"/>
        </a:p>
      </cdr:txBody>
    </cdr:sp>
  </cdr:relSizeAnchor>
  <cdr:relSizeAnchor xmlns:cdr="http://schemas.openxmlformats.org/drawingml/2006/chartDrawing">
    <cdr:from>
      <cdr:x>0.00946</cdr:x>
      <cdr:y>0.1873</cdr:y>
    </cdr:from>
    <cdr:to>
      <cdr:x>0.08195</cdr:x>
      <cdr:y>0.69356</cdr:y>
    </cdr:to>
    <cdr:sp macro="" textlink="">
      <cdr:nvSpPr>
        <cdr:cNvPr id="4" name="1 CuadroTexto"/>
        <cdr:cNvSpPr txBox="1"/>
      </cdr:nvSpPr>
      <cdr:spPr>
        <a:xfrm xmlns:a="http://schemas.openxmlformats.org/drawingml/2006/main" rot="16200000">
          <a:off x="-621261" y="1313411"/>
          <a:ext cx="1733551" cy="38943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userShapes>
</file>

<file path=xl/drawings/drawing45.xml><?xml version="1.0" encoding="utf-8"?>
<c:userShapes xmlns:c="http://schemas.openxmlformats.org/drawingml/2006/chart">
  <cdr:relSizeAnchor xmlns:cdr="http://schemas.openxmlformats.org/drawingml/2006/chartDrawing">
    <cdr:from>
      <cdr:x>0</cdr:x>
      <cdr:y>0.91585</cdr:y>
    </cdr:from>
    <cdr:to>
      <cdr:x>0.81739</cdr:x>
      <cdr:y>0.99396</cdr:y>
    </cdr:to>
    <cdr:sp macro="" textlink="">
      <cdr:nvSpPr>
        <cdr:cNvPr id="2" name="1 CuadroTexto"/>
        <cdr:cNvSpPr txBox="1"/>
      </cdr:nvSpPr>
      <cdr:spPr>
        <a:xfrm xmlns:a="http://schemas.openxmlformats.org/drawingml/2006/main">
          <a:off x="0" y="3127375"/>
          <a:ext cx="5372100"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 Encuesta Nacional de Opinión Pública</a:t>
          </a:r>
          <a:r>
            <a:rPr lang="es-CL" sz="1100" b="0" baseline="0"/>
            <a:t> UDP, 2013.</a:t>
          </a:r>
          <a:endParaRPr lang="es-CL" sz="1100" b="1"/>
        </a:p>
      </cdr:txBody>
    </cdr:sp>
  </cdr:relSizeAnchor>
  <cdr:relSizeAnchor xmlns:cdr="http://schemas.openxmlformats.org/drawingml/2006/chartDrawing">
    <cdr:from>
      <cdr:x>0</cdr:x>
      <cdr:y>0.19619</cdr:y>
    </cdr:from>
    <cdr:to>
      <cdr:x>0.05925</cdr:x>
      <cdr:y>0.70386</cdr:y>
    </cdr:to>
    <cdr:sp macro="" textlink="">
      <cdr:nvSpPr>
        <cdr:cNvPr id="3" name="1 CuadroTexto"/>
        <cdr:cNvSpPr txBox="1"/>
      </cdr:nvSpPr>
      <cdr:spPr>
        <a:xfrm xmlns:a="http://schemas.openxmlformats.org/drawingml/2006/main" rot="16200000">
          <a:off x="-672061" y="1341986"/>
          <a:ext cx="1733551" cy="38943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0.00773</cdr:x>
      <cdr:y>0.01488</cdr:y>
    </cdr:from>
    <cdr:to>
      <cdr:x>0.82512</cdr:x>
      <cdr:y>0.1934</cdr:y>
    </cdr:to>
    <cdr:sp macro="" textlink="">
      <cdr:nvSpPr>
        <cdr:cNvPr id="4" name="1 CuadroTexto"/>
        <cdr:cNvSpPr txBox="1"/>
      </cdr:nvSpPr>
      <cdr:spPr>
        <a:xfrm xmlns:a="http://schemas.openxmlformats.org/drawingml/2006/main">
          <a:off x="50800" y="50800"/>
          <a:ext cx="5372100" cy="609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36</a:t>
          </a:r>
        </a:p>
        <a:p xmlns:a="http://schemas.openxmlformats.org/drawingml/2006/main">
          <a:r>
            <a:rPr lang="es-CL" sz="1100" b="0"/>
            <a:t>Importancia</a:t>
          </a:r>
          <a:r>
            <a:rPr lang="es-CL" sz="1100" b="0" baseline="0"/>
            <a:t> de Aprobar una Nueva Constitución según Apoyo a Lucro  en Educación</a:t>
          </a:r>
          <a:endParaRPr lang="es-CL" sz="1100" b="0"/>
        </a:p>
      </cdr:txBody>
    </cdr:sp>
  </cdr:relSizeAnchor>
</c:userShapes>
</file>

<file path=xl/drawings/drawing46.xml><?xml version="1.0" encoding="utf-8"?>
<c:userShapes xmlns:c="http://schemas.openxmlformats.org/drawingml/2006/chart">
  <cdr:relSizeAnchor xmlns:cdr="http://schemas.openxmlformats.org/drawingml/2006/chartDrawing">
    <cdr:from>
      <cdr:x>0.00519</cdr:x>
      <cdr:y>0.21131</cdr:y>
    </cdr:from>
    <cdr:to>
      <cdr:x>0.06887</cdr:x>
      <cdr:y>0.72183</cdr:y>
    </cdr:to>
    <cdr:sp macro="" textlink="">
      <cdr:nvSpPr>
        <cdr:cNvPr id="2" name="1 CuadroTexto"/>
        <cdr:cNvSpPr txBox="1"/>
      </cdr:nvSpPr>
      <cdr:spPr>
        <a:xfrm xmlns:a="http://schemas.openxmlformats.org/drawingml/2006/main" rot="16200000">
          <a:off x="-640321" y="1389621"/>
          <a:ext cx="1733547" cy="38940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cdr:x>
      <cdr:y>0.92146</cdr:y>
    </cdr:from>
    <cdr:to>
      <cdr:x>0.89432</cdr:x>
      <cdr:y>1</cdr:y>
    </cdr:to>
    <cdr:sp macro="" textlink="">
      <cdr:nvSpPr>
        <cdr:cNvPr id="3" name="1 CuadroTexto"/>
        <cdr:cNvSpPr txBox="1"/>
      </cdr:nvSpPr>
      <cdr:spPr>
        <a:xfrm xmlns:a="http://schemas.openxmlformats.org/drawingml/2006/main">
          <a:off x="0" y="3128955"/>
          <a:ext cx="5468792" cy="26670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 Encuesta Nacional de Opinión Pública</a:t>
          </a:r>
          <a:r>
            <a:rPr lang="es-CL" sz="1100" b="0" baseline="0"/>
            <a:t> UDP, 2013.</a:t>
          </a:r>
          <a:endParaRPr lang="es-CL" sz="1100" b="1"/>
        </a:p>
      </cdr:txBody>
    </cdr:sp>
  </cdr:relSizeAnchor>
  <cdr:relSizeAnchor xmlns:cdr="http://schemas.openxmlformats.org/drawingml/2006/chartDrawing">
    <cdr:from>
      <cdr:x>0.00623</cdr:x>
      <cdr:y>0.01496</cdr:y>
    </cdr:from>
    <cdr:to>
      <cdr:x>1</cdr:x>
      <cdr:y>0.19449</cdr:y>
    </cdr:to>
    <cdr:sp macro="" textlink="">
      <cdr:nvSpPr>
        <cdr:cNvPr id="4" name="1 CuadroTexto"/>
        <cdr:cNvSpPr txBox="1"/>
      </cdr:nvSpPr>
      <cdr:spPr>
        <a:xfrm xmlns:a="http://schemas.openxmlformats.org/drawingml/2006/main">
          <a:off x="50800" y="50800"/>
          <a:ext cx="6076950" cy="60960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38</a:t>
          </a:r>
        </a:p>
        <a:p xmlns:a="http://schemas.openxmlformats.org/drawingml/2006/main">
          <a:r>
            <a:rPr lang="es-CL" sz="1100" b="0"/>
            <a:t>Importancia</a:t>
          </a:r>
          <a:r>
            <a:rPr lang="es-CL" sz="1100" b="0" baseline="0"/>
            <a:t> de Aprobar una Nueva Constitución según Intención de Participación Electoral </a:t>
          </a:r>
          <a:endParaRPr lang="es-CL" sz="1100" b="0"/>
        </a:p>
      </cdr:txBody>
    </cdr:sp>
  </cdr:relSizeAnchor>
</c:userShapes>
</file>

<file path=xl/drawings/drawing47.xml><?xml version="1.0" encoding="utf-8"?>
<c:userShapes xmlns:c="http://schemas.openxmlformats.org/drawingml/2006/chart">
  <cdr:relSizeAnchor xmlns:cdr="http://schemas.openxmlformats.org/drawingml/2006/chartDrawing">
    <cdr:from>
      <cdr:x>0.01359</cdr:x>
      <cdr:y>0</cdr:y>
    </cdr:from>
    <cdr:to>
      <cdr:x>0.93203</cdr:x>
      <cdr:y>0.18054</cdr:y>
    </cdr:to>
    <cdr:sp macro="" textlink="">
      <cdr:nvSpPr>
        <cdr:cNvPr id="2" name="1 CuadroTexto"/>
        <cdr:cNvSpPr txBox="1"/>
      </cdr:nvSpPr>
      <cdr:spPr>
        <a:xfrm xmlns:a="http://schemas.openxmlformats.org/drawingml/2006/main">
          <a:off x="79375" y="0"/>
          <a:ext cx="5362575" cy="6096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33</a:t>
          </a:r>
        </a:p>
        <a:p xmlns:a="http://schemas.openxmlformats.org/drawingml/2006/main">
          <a:r>
            <a:rPr lang="es-CL" sz="1100" b="0"/>
            <a:t>Importancia</a:t>
          </a:r>
          <a:r>
            <a:rPr lang="es-CL" sz="1100" b="0" baseline="0"/>
            <a:t> de Aprobar una Nueva Constitución según Simpatía con un Partido Político</a:t>
          </a:r>
          <a:endParaRPr lang="es-CL" sz="1100" b="0"/>
        </a:p>
      </cdr:txBody>
    </cdr:sp>
  </cdr:relSizeAnchor>
  <cdr:relSizeAnchor xmlns:cdr="http://schemas.openxmlformats.org/drawingml/2006/chartDrawing">
    <cdr:from>
      <cdr:x>0.00707</cdr:x>
      <cdr:y>0.16737</cdr:y>
    </cdr:from>
    <cdr:to>
      <cdr:x>0.06085</cdr:x>
      <cdr:y>0.68077</cdr:y>
    </cdr:to>
    <cdr:sp macro="" textlink="">
      <cdr:nvSpPr>
        <cdr:cNvPr id="3" name="1 CuadroTexto"/>
        <cdr:cNvSpPr txBox="1"/>
      </cdr:nvSpPr>
      <cdr:spPr>
        <a:xfrm xmlns:a="http://schemas.openxmlformats.org/drawingml/2006/main" rot="16200000">
          <a:off x="-668480" y="1274905"/>
          <a:ext cx="1733551" cy="31404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0.03317</cdr:x>
      <cdr:y>0.92102</cdr:y>
    </cdr:from>
    <cdr:to>
      <cdr:x>0.78847</cdr:x>
      <cdr:y>1</cdr:y>
    </cdr:to>
    <cdr:sp macro="" textlink="">
      <cdr:nvSpPr>
        <cdr:cNvPr id="4" name="1 CuadroTexto"/>
        <cdr:cNvSpPr txBox="1"/>
      </cdr:nvSpPr>
      <cdr:spPr>
        <a:xfrm xmlns:a="http://schemas.openxmlformats.org/drawingml/2006/main">
          <a:off x="193675" y="3109913"/>
          <a:ext cx="4410075" cy="2667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 Encuesta Nacional de Opinión Pública</a:t>
          </a:r>
          <a:r>
            <a:rPr lang="es-CL" sz="1100" b="0" baseline="0"/>
            <a:t> UDP, 2013.</a:t>
          </a:r>
          <a:endParaRPr lang="es-CL" sz="1100" b="1"/>
        </a:p>
      </cdr:txBody>
    </cdr:sp>
  </cdr:relSizeAnchor>
</c:userShapes>
</file>

<file path=xl/drawings/drawing48.xml><?xml version="1.0" encoding="utf-8"?>
<c:userShapes xmlns:c="http://schemas.openxmlformats.org/drawingml/2006/chart">
  <cdr:relSizeAnchor xmlns:cdr="http://schemas.openxmlformats.org/drawingml/2006/chartDrawing">
    <cdr:from>
      <cdr:x>0.00208</cdr:x>
      <cdr:y>0.20828</cdr:y>
    </cdr:from>
    <cdr:to>
      <cdr:x>0.05203</cdr:x>
      <cdr:y>0.70487</cdr:y>
    </cdr:to>
    <cdr:sp macro="" textlink="">
      <cdr:nvSpPr>
        <cdr:cNvPr id="2" name="1 CuadroTexto"/>
        <cdr:cNvSpPr txBox="1"/>
      </cdr:nvSpPr>
      <cdr:spPr>
        <a:xfrm xmlns:a="http://schemas.openxmlformats.org/drawingml/2006/main" rot="16200000">
          <a:off x="-701832" y="1441607"/>
          <a:ext cx="1733553" cy="3044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0.00833</cdr:x>
      <cdr:y>0.01455</cdr:y>
    </cdr:from>
    <cdr:to>
      <cdr:x>1</cdr:x>
      <cdr:y>0.18918</cdr:y>
    </cdr:to>
    <cdr:sp macro="" textlink="">
      <cdr:nvSpPr>
        <cdr:cNvPr id="3" name="1 CuadroTexto"/>
        <cdr:cNvSpPr txBox="1"/>
      </cdr:nvSpPr>
      <cdr:spPr>
        <a:xfrm xmlns:a="http://schemas.openxmlformats.org/drawingml/2006/main">
          <a:off x="50800" y="50800"/>
          <a:ext cx="6045200" cy="60962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38</a:t>
          </a:r>
        </a:p>
        <a:p xmlns:a="http://schemas.openxmlformats.org/drawingml/2006/main">
          <a:r>
            <a:rPr lang="es-CL" sz="1100" b="0"/>
            <a:t>Importancia</a:t>
          </a:r>
          <a:r>
            <a:rPr lang="es-CL" sz="1100" b="0" baseline="0"/>
            <a:t> de Aprobar una Nueva Constitución según Proyección de Participación Electoral </a:t>
          </a:r>
          <a:endParaRPr lang="es-CL" sz="1100" b="0"/>
        </a:p>
      </cdr:txBody>
    </cdr:sp>
  </cdr:relSizeAnchor>
  <cdr:relSizeAnchor xmlns:cdr="http://schemas.openxmlformats.org/drawingml/2006/chartDrawing">
    <cdr:from>
      <cdr:x>0</cdr:x>
      <cdr:y>0.92042</cdr:y>
    </cdr:from>
    <cdr:to>
      <cdr:x>0.70148</cdr:x>
      <cdr:y>0.99682</cdr:y>
    </cdr:to>
    <cdr:sp macro="" textlink="">
      <cdr:nvSpPr>
        <cdr:cNvPr id="4" name="1 CuadroTexto"/>
        <cdr:cNvSpPr txBox="1"/>
      </cdr:nvSpPr>
      <cdr:spPr>
        <a:xfrm xmlns:a="http://schemas.openxmlformats.org/drawingml/2006/main">
          <a:off x="0" y="3213100"/>
          <a:ext cx="4276236" cy="26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 Encuesta Nacional de Opinión Pública</a:t>
          </a:r>
          <a:r>
            <a:rPr lang="es-CL" sz="1100" b="0" baseline="0"/>
            <a:t> UDP, 2013.</a:t>
          </a:r>
          <a:endParaRPr lang="es-CL" sz="1100" b="1"/>
        </a:p>
      </cdr:txBody>
    </cdr:sp>
  </cdr:relSizeAnchor>
</c:userShapes>
</file>

<file path=xl/drawings/drawing49.xml><?xml version="1.0" encoding="utf-8"?>
<xdr:wsDr xmlns:xdr="http://schemas.openxmlformats.org/drawingml/2006/spreadsheetDrawing" xmlns:a="http://schemas.openxmlformats.org/drawingml/2006/main">
  <xdr:twoCellAnchor editAs="oneCell">
    <xdr:from>
      <xdr:col>30</xdr:col>
      <xdr:colOff>9525</xdr:colOff>
      <xdr:row>0</xdr:row>
      <xdr:rowOff>0</xdr:rowOff>
    </xdr:from>
    <xdr:to>
      <xdr:col>37</xdr:col>
      <xdr:colOff>666750</xdr:colOff>
      <xdr:row>24</xdr:row>
      <xdr:rowOff>76200</xdr:rowOff>
    </xdr:to>
    <xdr:pic>
      <xdr:nvPicPr>
        <xdr:cNvPr id="2" name="1 Imagen"/>
        <xdr:cNvPicPr>
          <a:picLocks noChangeAspect="1"/>
        </xdr:cNvPicPr>
      </xdr:nvPicPr>
      <xdr:blipFill>
        <a:blip xmlns:r="http://schemas.openxmlformats.org/officeDocument/2006/relationships" r:embed="rId1"/>
        <a:stretch>
          <a:fillRect/>
        </a:stretch>
      </xdr:blipFill>
      <xdr:spPr>
        <a:xfrm>
          <a:off x="22869525" y="0"/>
          <a:ext cx="5991225" cy="4800600"/>
        </a:xfrm>
        <a:prstGeom prst="rect">
          <a:avLst/>
        </a:prstGeom>
      </xdr:spPr>
    </xdr:pic>
    <xdr:clientData/>
  </xdr:twoCellAnchor>
  <xdr:twoCellAnchor editAs="oneCell">
    <xdr:from>
      <xdr:col>30</xdr:col>
      <xdr:colOff>9525</xdr:colOff>
      <xdr:row>26</xdr:row>
      <xdr:rowOff>0</xdr:rowOff>
    </xdr:from>
    <xdr:to>
      <xdr:col>37</xdr:col>
      <xdr:colOff>666750</xdr:colOff>
      <xdr:row>48</xdr:row>
      <xdr:rowOff>180975</xdr:rowOff>
    </xdr:to>
    <xdr:pic>
      <xdr:nvPicPr>
        <xdr:cNvPr id="3" name="2 Imagen"/>
        <xdr:cNvPicPr>
          <a:picLocks noChangeAspect="1"/>
        </xdr:cNvPicPr>
      </xdr:nvPicPr>
      <xdr:blipFill>
        <a:blip xmlns:r="http://schemas.openxmlformats.org/officeDocument/2006/relationships" r:embed="rId2"/>
        <a:stretch>
          <a:fillRect/>
        </a:stretch>
      </xdr:blipFill>
      <xdr:spPr>
        <a:xfrm>
          <a:off x="22869525" y="5114925"/>
          <a:ext cx="5991225" cy="4800600"/>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14</xdr:col>
      <xdr:colOff>19050</xdr:colOff>
      <xdr:row>0</xdr:row>
      <xdr:rowOff>0</xdr:rowOff>
    </xdr:from>
    <xdr:to>
      <xdr:col>21</xdr:col>
      <xdr:colOff>298450</xdr:colOff>
      <xdr:row>18</xdr:row>
      <xdr:rowOff>4445</xdr:rowOff>
    </xdr:to>
    <xdr:pic>
      <xdr:nvPicPr>
        <xdr:cNvPr id="2" name="1 Imagen"/>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87150" y="0"/>
          <a:ext cx="5613400" cy="3795395"/>
        </a:xfrm>
        <a:prstGeom prst="rect">
          <a:avLst/>
        </a:prstGeom>
        <a:noFill/>
        <a:ln>
          <a:solidFill>
            <a:schemeClr val="tx1"/>
          </a:solidFill>
        </a:ln>
      </xdr:spPr>
    </xdr:pic>
    <xdr:clientData/>
  </xdr:twoCellAnchor>
  <xdr:twoCellAnchor editAs="oneCell">
    <xdr:from>
      <xdr:col>14</xdr:col>
      <xdr:colOff>0</xdr:colOff>
      <xdr:row>20</xdr:row>
      <xdr:rowOff>133350</xdr:rowOff>
    </xdr:from>
    <xdr:to>
      <xdr:col>21</xdr:col>
      <xdr:colOff>279400</xdr:colOff>
      <xdr:row>40</xdr:row>
      <xdr:rowOff>110490</xdr:rowOff>
    </xdr:to>
    <xdr:pic>
      <xdr:nvPicPr>
        <xdr:cNvPr id="3" name="2 Imagen"/>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68100" y="4324350"/>
          <a:ext cx="5613400" cy="3958590"/>
        </a:xfrm>
        <a:prstGeom prst="rect">
          <a:avLst/>
        </a:prstGeom>
        <a:noFill/>
        <a:ln>
          <a:solidFill>
            <a:schemeClr val="tx1"/>
          </a:solidFill>
        </a:ln>
      </xdr:spPr>
    </xdr:pic>
    <xdr:clientData/>
  </xdr:twoCellAnchor>
</xdr:wsDr>
</file>

<file path=xl/drawings/drawing51.xml><?xml version="1.0" encoding="utf-8"?>
<xdr:wsDr xmlns:xdr="http://schemas.openxmlformats.org/drawingml/2006/spreadsheetDrawing" xmlns:a="http://schemas.openxmlformats.org/drawingml/2006/main">
  <xdr:twoCellAnchor>
    <xdr:from>
      <xdr:col>0</xdr:col>
      <xdr:colOff>28575</xdr:colOff>
      <xdr:row>4</xdr:row>
      <xdr:rowOff>180975</xdr:rowOff>
    </xdr:from>
    <xdr:to>
      <xdr:col>7</xdr:col>
      <xdr:colOff>361950</xdr:colOff>
      <xdr:row>24</xdr:row>
      <xdr:rowOff>90488</xdr:rowOff>
    </xdr:to>
    <xdr:graphicFrame macro="">
      <xdr:nvGraphicFramePr>
        <xdr:cNvPr id="2" name="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5</xdr:row>
      <xdr:rowOff>0</xdr:rowOff>
    </xdr:from>
    <xdr:to>
      <xdr:col>14</xdr:col>
      <xdr:colOff>85725</xdr:colOff>
      <xdr:row>22</xdr:row>
      <xdr:rowOff>19050</xdr:rowOff>
    </xdr:to>
    <xdr:graphicFrame macro="">
      <xdr:nvGraphicFramePr>
        <xdr:cNvPr id="3"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5</xdr:row>
      <xdr:rowOff>1</xdr:rowOff>
    </xdr:from>
    <xdr:to>
      <xdr:col>19</xdr:col>
      <xdr:colOff>428625</xdr:colOff>
      <xdr:row>22</xdr:row>
      <xdr:rowOff>19051</xdr:rowOff>
    </xdr:to>
    <xdr:graphicFrame macro="">
      <xdr:nvGraphicFramePr>
        <xdr:cNvPr id="4" name="3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0</xdr:colOff>
      <xdr:row>5</xdr:row>
      <xdr:rowOff>0</xdr:rowOff>
    </xdr:from>
    <xdr:to>
      <xdr:col>25</xdr:col>
      <xdr:colOff>1152525</xdr:colOff>
      <xdr:row>22</xdr:row>
      <xdr:rowOff>71438</xdr:rowOff>
    </xdr:to>
    <xdr:graphicFrame macro="">
      <xdr:nvGraphicFramePr>
        <xdr:cNvPr id="5" name="4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0</xdr:colOff>
      <xdr:row>5</xdr:row>
      <xdr:rowOff>0</xdr:rowOff>
    </xdr:from>
    <xdr:to>
      <xdr:col>29</xdr:col>
      <xdr:colOff>2324100</xdr:colOff>
      <xdr:row>22</xdr:row>
      <xdr:rowOff>109538</xdr:rowOff>
    </xdr:to>
    <xdr:graphicFrame macro="">
      <xdr:nvGraphicFramePr>
        <xdr:cNvPr id="6" name="5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0</xdr:colOff>
      <xdr:row>5</xdr:row>
      <xdr:rowOff>0</xdr:rowOff>
    </xdr:from>
    <xdr:to>
      <xdr:col>35</xdr:col>
      <xdr:colOff>742950</xdr:colOff>
      <xdr:row>22</xdr:row>
      <xdr:rowOff>185737</xdr:rowOff>
    </xdr:to>
    <xdr:graphicFrame macro="">
      <xdr:nvGraphicFramePr>
        <xdr:cNvPr id="7" name="6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xdr:col>
      <xdr:colOff>0</xdr:colOff>
      <xdr:row>5</xdr:row>
      <xdr:rowOff>23811</xdr:rowOff>
    </xdr:from>
    <xdr:to>
      <xdr:col>42</xdr:col>
      <xdr:colOff>628650</xdr:colOff>
      <xdr:row>22</xdr:row>
      <xdr:rowOff>161924</xdr:rowOff>
    </xdr:to>
    <xdr:graphicFrame macro="">
      <xdr:nvGraphicFramePr>
        <xdr:cNvPr id="10" name="9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49</xdr:col>
      <xdr:colOff>0</xdr:colOff>
      <xdr:row>5</xdr:row>
      <xdr:rowOff>0</xdr:rowOff>
    </xdr:from>
    <xdr:to>
      <xdr:col>51</xdr:col>
      <xdr:colOff>1666875</xdr:colOff>
      <xdr:row>23</xdr:row>
      <xdr:rowOff>52388</xdr:rowOff>
    </xdr:to>
    <xdr:graphicFrame macro="">
      <xdr:nvGraphicFramePr>
        <xdr:cNvPr id="12" name="1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53</xdr:col>
      <xdr:colOff>0</xdr:colOff>
      <xdr:row>5</xdr:row>
      <xdr:rowOff>0</xdr:rowOff>
    </xdr:from>
    <xdr:to>
      <xdr:col>57</xdr:col>
      <xdr:colOff>57150</xdr:colOff>
      <xdr:row>23</xdr:row>
      <xdr:rowOff>33338</xdr:rowOff>
    </xdr:to>
    <xdr:graphicFrame macro="">
      <xdr:nvGraphicFramePr>
        <xdr:cNvPr id="13" name="1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58</xdr:col>
      <xdr:colOff>1</xdr:colOff>
      <xdr:row>5</xdr:row>
      <xdr:rowOff>0</xdr:rowOff>
    </xdr:from>
    <xdr:to>
      <xdr:col>62</xdr:col>
      <xdr:colOff>1</xdr:colOff>
      <xdr:row>23</xdr:row>
      <xdr:rowOff>28575</xdr:rowOff>
    </xdr:to>
    <xdr:graphicFrame macro="">
      <xdr:nvGraphicFramePr>
        <xdr:cNvPr id="14" name="13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62</xdr:col>
      <xdr:colOff>742950</xdr:colOff>
      <xdr:row>4</xdr:row>
      <xdr:rowOff>157162</xdr:rowOff>
    </xdr:from>
    <xdr:to>
      <xdr:col>66</xdr:col>
      <xdr:colOff>1371601</xdr:colOff>
      <xdr:row>22</xdr:row>
      <xdr:rowOff>171450</xdr:rowOff>
    </xdr:to>
    <xdr:graphicFrame macro="">
      <xdr:nvGraphicFramePr>
        <xdr:cNvPr id="15" name="14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74</xdr:col>
      <xdr:colOff>0</xdr:colOff>
      <xdr:row>5</xdr:row>
      <xdr:rowOff>0</xdr:rowOff>
    </xdr:from>
    <xdr:to>
      <xdr:col>76</xdr:col>
      <xdr:colOff>2247900</xdr:colOff>
      <xdr:row>23</xdr:row>
      <xdr:rowOff>71438</xdr:rowOff>
    </xdr:to>
    <xdr:graphicFrame macro="">
      <xdr:nvGraphicFramePr>
        <xdr:cNvPr id="16" name="15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68</xdr:col>
      <xdr:colOff>1</xdr:colOff>
      <xdr:row>5</xdr:row>
      <xdr:rowOff>1</xdr:rowOff>
    </xdr:from>
    <xdr:to>
      <xdr:col>73</xdr:col>
      <xdr:colOff>19051</xdr:colOff>
      <xdr:row>23</xdr:row>
      <xdr:rowOff>19051</xdr:rowOff>
    </xdr:to>
    <xdr:graphicFrame macro="">
      <xdr:nvGraphicFramePr>
        <xdr:cNvPr id="17" name="16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78</xdr:col>
      <xdr:colOff>0</xdr:colOff>
      <xdr:row>5</xdr:row>
      <xdr:rowOff>0</xdr:rowOff>
    </xdr:from>
    <xdr:to>
      <xdr:col>81</xdr:col>
      <xdr:colOff>57150</xdr:colOff>
      <xdr:row>23</xdr:row>
      <xdr:rowOff>28575</xdr:rowOff>
    </xdr:to>
    <xdr:graphicFrame macro="">
      <xdr:nvGraphicFramePr>
        <xdr:cNvPr id="18" name="17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82</xdr:col>
      <xdr:colOff>1</xdr:colOff>
      <xdr:row>5</xdr:row>
      <xdr:rowOff>0</xdr:rowOff>
    </xdr:from>
    <xdr:to>
      <xdr:col>87</xdr:col>
      <xdr:colOff>38101</xdr:colOff>
      <xdr:row>22</xdr:row>
      <xdr:rowOff>23813</xdr:rowOff>
    </xdr:to>
    <xdr:graphicFrame macro="">
      <xdr:nvGraphicFramePr>
        <xdr:cNvPr id="19" name="18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88</xdr:col>
      <xdr:colOff>0</xdr:colOff>
      <xdr:row>5</xdr:row>
      <xdr:rowOff>0</xdr:rowOff>
    </xdr:from>
    <xdr:to>
      <xdr:col>94</xdr:col>
      <xdr:colOff>266701</xdr:colOff>
      <xdr:row>22</xdr:row>
      <xdr:rowOff>71438</xdr:rowOff>
    </xdr:to>
    <xdr:graphicFrame macro="">
      <xdr:nvGraphicFramePr>
        <xdr:cNvPr id="20" name="19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95</xdr:col>
      <xdr:colOff>761999</xdr:colOff>
      <xdr:row>5</xdr:row>
      <xdr:rowOff>4762</xdr:rowOff>
    </xdr:from>
    <xdr:to>
      <xdr:col>101</xdr:col>
      <xdr:colOff>285749</xdr:colOff>
      <xdr:row>22</xdr:row>
      <xdr:rowOff>19050</xdr:rowOff>
    </xdr:to>
    <xdr:graphicFrame macro="">
      <xdr:nvGraphicFramePr>
        <xdr:cNvPr id="21" name="20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102</xdr:col>
      <xdr:colOff>209549</xdr:colOff>
      <xdr:row>5</xdr:row>
      <xdr:rowOff>61911</xdr:rowOff>
    </xdr:from>
    <xdr:to>
      <xdr:col>105</xdr:col>
      <xdr:colOff>2057399</xdr:colOff>
      <xdr:row>22</xdr:row>
      <xdr:rowOff>9524</xdr:rowOff>
    </xdr:to>
    <xdr:graphicFrame macro="">
      <xdr:nvGraphicFramePr>
        <xdr:cNvPr id="22" name="21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106</xdr:col>
      <xdr:colOff>742950</xdr:colOff>
      <xdr:row>4</xdr:row>
      <xdr:rowOff>157161</xdr:rowOff>
    </xdr:from>
    <xdr:to>
      <xdr:col>111</xdr:col>
      <xdr:colOff>66675</xdr:colOff>
      <xdr:row>23</xdr:row>
      <xdr:rowOff>57150</xdr:rowOff>
    </xdr:to>
    <xdr:graphicFrame macro="">
      <xdr:nvGraphicFramePr>
        <xdr:cNvPr id="23" name="22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63</xdr:col>
      <xdr:colOff>0</xdr:colOff>
      <xdr:row>36</xdr:row>
      <xdr:rowOff>123825</xdr:rowOff>
    </xdr:from>
    <xdr:to>
      <xdr:col>66</xdr:col>
      <xdr:colOff>1352550</xdr:colOff>
      <xdr:row>54</xdr:row>
      <xdr:rowOff>66675</xdr:rowOff>
    </xdr:to>
    <xdr:graphicFrame macro="">
      <xdr:nvGraphicFramePr>
        <xdr:cNvPr id="8" name="7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63</xdr:col>
      <xdr:colOff>9524</xdr:colOff>
      <xdr:row>68</xdr:row>
      <xdr:rowOff>176212</xdr:rowOff>
    </xdr:from>
    <xdr:to>
      <xdr:col>66</xdr:col>
      <xdr:colOff>1381124</xdr:colOff>
      <xdr:row>83</xdr:row>
      <xdr:rowOff>61912</xdr:rowOff>
    </xdr:to>
    <xdr:graphicFrame macro="">
      <xdr:nvGraphicFramePr>
        <xdr:cNvPr id="9" name="8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44</xdr:col>
      <xdr:colOff>0</xdr:colOff>
      <xdr:row>5</xdr:row>
      <xdr:rowOff>19050</xdr:rowOff>
    </xdr:from>
    <xdr:to>
      <xdr:col>46</xdr:col>
      <xdr:colOff>2857500</xdr:colOff>
      <xdr:row>22</xdr:row>
      <xdr:rowOff>123825</xdr:rowOff>
    </xdr:to>
    <xdr:graphicFrame macro="">
      <xdr:nvGraphicFramePr>
        <xdr:cNvPr id="24" name="23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52.xml><?xml version="1.0" encoding="utf-8"?>
<c:userShapes xmlns:c="http://schemas.openxmlformats.org/drawingml/2006/chart">
  <cdr:relSizeAnchor xmlns:cdr="http://schemas.openxmlformats.org/drawingml/2006/chartDrawing">
    <cdr:from>
      <cdr:x>0.64874</cdr:x>
      <cdr:y>0.6643</cdr:y>
    </cdr:from>
    <cdr:to>
      <cdr:x>0.66219</cdr:x>
      <cdr:y>0.69559</cdr:y>
    </cdr:to>
    <cdr:sp macro="" textlink="">
      <cdr:nvSpPr>
        <cdr:cNvPr id="2" name="1 CuadroTexto"/>
        <cdr:cNvSpPr txBox="1"/>
      </cdr:nvSpPr>
      <cdr:spPr>
        <a:xfrm xmlns:a="http://schemas.openxmlformats.org/drawingml/2006/main">
          <a:off x="3676651" y="2224088"/>
          <a:ext cx="76200" cy="1047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L" sz="1100"/>
        </a:p>
      </cdr:txBody>
    </cdr:sp>
  </cdr:relSizeAnchor>
  <cdr:relSizeAnchor xmlns:cdr="http://schemas.openxmlformats.org/drawingml/2006/chartDrawing">
    <cdr:from>
      <cdr:x>0.01401</cdr:x>
      <cdr:y>0.1417</cdr:y>
    </cdr:from>
    <cdr:to>
      <cdr:x>0.12493</cdr:x>
      <cdr:y>0.6927</cdr:y>
    </cdr:to>
    <cdr:sp macro="" textlink="">
      <cdr:nvSpPr>
        <cdr:cNvPr id="3" name="1 CuadroTexto"/>
        <cdr:cNvSpPr txBox="1"/>
      </cdr:nvSpPr>
      <cdr:spPr>
        <a:xfrm xmlns:a="http://schemas.openxmlformats.org/drawingml/2006/main" rot="16200000">
          <a:off x="-631031" y="1237457"/>
          <a:ext cx="2049463" cy="62865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0.08908</cdr:x>
      <cdr:y>0.86641</cdr:y>
    </cdr:from>
    <cdr:to>
      <cdr:x>0.78992</cdr:x>
      <cdr:y>0.9283</cdr:y>
    </cdr:to>
    <cdr:sp macro="" textlink="">
      <cdr:nvSpPr>
        <cdr:cNvPr id="4" name="1 CuadroTexto"/>
        <cdr:cNvSpPr txBox="1"/>
      </cdr:nvSpPr>
      <cdr:spPr>
        <a:xfrm xmlns:a="http://schemas.openxmlformats.org/drawingml/2006/main">
          <a:off x="504825" y="3222624"/>
          <a:ext cx="3971926" cy="2301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1" baseline="0"/>
            <a:t> </a:t>
          </a:r>
          <a:r>
            <a:rPr lang="es-CL" sz="1100" b="0" baseline="0"/>
            <a:t>LAPOP Chile, 2012.</a:t>
          </a:r>
          <a:endParaRPr lang="es-CL" sz="1100" b="1"/>
        </a:p>
      </cdr:txBody>
    </cdr:sp>
  </cdr:relSizeAnchor>
</c:userShapes>
</file>

<file path=xl/drawings/drawing53.xml><?xml version="1.0" encoding="utf-8"?>
<c:userShapes xmlns:c="http://schemas.openxmlformats.org/drawingml/2006/chart">
  <cdr:relSizeAnchor xmlns:cdr="http://schemas.openxmlformats.org/drawingml/2006/chartDrawing">
    <cdr:from>
      <cdr:x>0.00822</cdr:x>
      <cdr:y>0.01548</cdr:y>
    </cdr:from>
    <cdr:to>
      <cdr:x>0.10991</cdr:x>
      <cdr:y>0.73035</cdr:y>
    </cdr:to>
    <cdr:sp macro="" textlink="">
      <cdr:nvSpPr>
        <cdr:cNvPr id="2" name="1 CuadroTexto"/>
        <cdr:cNvSpPr txBox="1"/>
      </cdr:nvSpPr>
      <cdr:spPr>
        <a:xfrm xmlns:a="http://schemas.openxmlformats.org/drawingml/2006/main" rot="16200000">
          <a:off x="-807744" y="909344"/>
          <a:ext cx="2345727" cy="62863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0.01746</cdr:x>
      <cdr:y>0.92761</cdr:y>
    </cdr:from>
    <cdr:to>
      <cdr:x>0.36364</cdr:x>
      <cdr:y>1</cdr:y>
    </cdr:to>
    <cdr:sp macro="" textlink="">
      <cdr:nvSpPr>
        <cdr:cNvPr id="3" name="1 CuadroTexto"/>
        <cdr:cNvSpPr txBox="1"/>
      </cdr:nvSpPr>
      <cdr:spPr>
        <a:xfrm xmlns:a="http://schemas.openxmlformats.org/drawingml/2006/main">
          <a:off x="107950" y="3043818"/>
          <a:ext cx="2139950" cy="2375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1" baseline="0"/>
            <a:t> </a:t>
          </a:r>
          <a:r>
            <a:rPr lang="es-CL" sz="1100" b="0" baseline="0"/>
            <a:t>LAPOP Chile, 2012.</a:t>
          </a:r>
          <a:endParaRPr lang="es-CL" sz="1100" b="1"/>
        </a:p>
      </cdr:txBody>
    </cdr:sp>
  </cdr:relSizeAnchor>
  <cdr:relSizeAnchor xmlns:cdr="http://schemas.openxmlformats.org/drawingml/2006/chartDrawing">
    <cdr:from>
      <cdr:x>0.03734</cdr:x>
      <cdr:y>0.02129</cdr:y>
    </cdr:from>
    <cdr:to>
      <cdr:x>0.85398</cdr:x>
      <cdr:y>0.17994</cdr:y>
    </cdr:to>
    <cdr:sp macro="" textlink="">
      <cdr:nvSpPr>
        <cdr:cNvPr id="4" name="1 CuadroTexto"/>
        <cdr:cNvSpPr txBox="1"/>
      </cdr:nvSpPr>
      <cdr:spPr>
        <a:xfrm xmlns:a="http://schemas.openxmlformats.org/drawingml/2006/main">
          <a:off x="189570" y="69850"/>
          <a:ext cx="4145938" cy="5205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41</a:t>
          </a:r>
        </a:p>
        <a:p xmlns:a="http://schemas.openxmlformats.org/drawingml/2006/main">
          <a:r>
            <a:rPr lang="es-CL" sz="1100" b="0" i="0" u="none" strike="noStrike" baseline="0" smtClean="0">
              <a:latin typeface="+mn-lt"/>
              <a:ea typeface="+mn-ea"/>
              <a:cs typeface="+mn-cs"/>
            </a:rPr>
            <a:t>Decisión sobre la Reforma Constitucional según Sexo</a:t>
          </a:r>
          <a:endParaRPr lang="es-CL" sz="1100" b="1"/>
        </a:p>
      </cdr:txBody>
    </cdr:sp>
  </cdr:relSizeAnchor>
</c:userShapes>
</file>

<file path=xl/drawings/drawing54.xml><?xml version="1.0" encoding="utf-8"?>
<c:userShapes xmlns:c="http://schemas.openxmlformats.org/drawingml/2006/chart">
  <cdr:relSizeAnchor xmlns:cdr="http://schemas.openxmlformats.org/drawingml/2006/chartDrawing">
    <cdr:from>
      <cdr:x>0.0354</cdr:x>
      <cdr:y>0.92965</cdr:y>
    </cdr:from>
    <cdr:to>
      <cdr:x>0.79451</cdr:x>
      <cdr:y>1</cdr:y>
    </cdr:to>
    <cdr:sp macro="" textlink="">
      <cdr:nvSpPr>
        <cdr:cNvPr id="2" name="1 CuadroTexto"/>
        <cdr:cNvSpPr txBox="1"/>
      </cdr:nvSpPr>
      <cdr:spPr>
        <a:xfrm xmlns:a="http://schemas.openxmlformats.org/drawingml/2006/main">
          <a:off x="201319" y="3139069"/>
          <a:ext cx="4316588" cy="2375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1" baseline="0"/>
            <a:t> </a:t>
          </a:r>
          <a:r>
            <a:rPr lang="es-CL" sz="1100" b="0" baseline="0"/>
            <a:t>LAPOP Chile, 2012.</a:t>
          </a:r>
          <a:endParaRPr lang="es-CL" sz="1100" b="1"/>
        </a:p>
      </cdr:txBody>
    </cdr:sp>
  </cdr:relSizeAnchor>
  <cdr:relSizeAnchor xmlns:cdr="http://schemas.openxmlformats.org/drawingml/2006/chartDrawing">
    <cdr:from>
      <cdr:x>0.00747</cdr:x>
      <cdr:y>0.01504</cdr:y>
    </cdr:from>
    <cdr:to>
      <cdr:x>0.09991</cdr:x>
      <cdr:y>0.70974</cdr:y>
    </cdr:to>
    <cdr:sp macro="" textlink="">
      <cdr:nvSpPr>
        <cdr:cNvPr id="3" name="1 CuadroTexto"/>
        <cdr:cNvSpPr txBox="1"/>
      </cdr:nvSpPr>
      <cdr:spPr>
        <a:xfrm xmlns:a="http://schemas.openxmlformats.org/drawingml/2006/main" rot="16200000">
          <a:off x="-807744" y="909344"/>
          <a:ext cx="2345727" cy="62863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0.03318</cdr:x>
      <cdr:y>0.00658</cdr:y>
    </cdr:from>
    <cdr:to>
      <cdr:x>0.77548</cdr:x>
      <cdr:y>0.16076</cdr:y>
    </cdr:to>
    <cdr:sp macro="" textlink="">
      <cdr:nvSpPr>
        <cdr:cNvPr id="4" name="1 CuadroTexto"/>
        <cdr:cNvSpPr txBox="1"/>
      </cdr:nvSpPr>
      <cdr:spPr>
        <a:xfrm xmlns:a="http://schemas.openxmlformats.org/drawingml/2006/main">
          <a:off x="188672" y="22225"/>
          <a:ext cx="4221010" cy="5205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42</a:t>
          </a:r>
        </a:p>
        <a:p xmlns:a="http://schemas.openxmlformats.org/drawingml/2006/main">
          <a:r>
            <a:rPr lang="es-CL" sz="1100" b="0" i="0" baseline="0">
              <a:effectLst/>
              <a:latin typeface="+mn-lt"/>
              <a:ea typeface="+mn-ea"/>
              <a:cs typeface="+mn-cs"/>
            </a:rPr>
            <a:t>Decisión sobre la Reforma Constitucional según Tramos de Edad</a:t>
          </a:r>
          <a:endParaRPr lang="es-CL">
            <a:effectLst/>
          </a:endParaRPr>
        </a:p>
      </cdr:txBody>
    </cdr:sp>
  </cdr:relSizeAnchor>
</c:userShapes>
</file>

<file path=xl/drawings/drawing55.xml><?xml version="1.0" encoding="utf-8"?>
<c:userShapes xmlns:c="http://schemas.openxmlformats.org/drawingml/2006/chart">
  <cdr:relSizeAnchor xmlns:cdr="http://schemas.openxmlformats.org/drawingml/2006/chartDrawing">
    <cdr:from>
      <cdr:x>0.02135</cdr:x>
      <cdr:y>0</cdr:y>
    </cdr:from>
    <cdr:to>
      <cdr:x>0.89163</cdr:x>
      <cdr:y>0.15728</cdr:y>
    </cdr:to>
    <cdr:sp macro="" textlink="">
      <cdr:nvSpPr>
        <cdr:cNvPr id="2" name="1 CuadroTexto"/>
        <cdr:cNvSpPr txBox="1"/>
      </cdr:nvSpPr>
      <cdr:spPr>
        <a:xfrm xmlns:a="http://schemas.openxmlformats.org/drawingml/2006/main">
          <a:off x="123832" y="0"/>
          <a:ext cx="5048243" cy="5205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43</a:t>
          </a:r>
        </a:p>
        <a:p xmlns:a="http://schemas.openxmlformats.org/drawingml/2006/main">
          <a:r>
            <a:rPr lang="es-CL" sz="1100" b="0" i="0" baseline="0">
              <a:effectLst/>
              <a:latin typeface="+mn-lt"/>
              <a:ea typeface="+mn-ea"/>
              <a:cs typeface="+mn-cs"/>
            </a:rPr>
            <a:t>Decisión sobre la Reforma Constitucional según Máximo Nivel Educativo Alcanzado</a:t>
          </a:r>
          <a:endParaRPr lang="es-CL">
            <a:effectLst/>
          </a:endParaRPr>
        </a:p>
      </cdr:txBody>
    </cdr:sp>
  </cdr:relSizeAnchor>
  <cdr:relSizeAnchor xmlns:cdr="http://schemas.openxmlformats.org/drawingml/2006/chartDrawing">
    <cdr:from>
      <cdr:x>0.01533</cdr:x>
      <cdr:y>0.13093</cdr:y>
    </cdr:from>
    <cdr:to>
      <cdr:x>0.07225</cdr:x>
      <cdr:y>0.67416</cdr:y>
    </cdr:to>
    <cdr:sp macro="" textlink="">
      <cdr:nvSpPr>
        <cdr:cNvPr id="3" name="1 CuadroTexto"/>
        <cdr:cNvSpPr txBox="1"/>
      </cdr:nvSpPr>
      <cdr:spPr>
        <a:xfrm xmlns:a="http://schemas.openxmlformats.org/drawingml/2006/main" rot="16200000">
          <a:off x="-645019" y="1167306"/>
          <a:ext cx="1798039" cy="3302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0.02627</cdr:x>
      <cdr:y>0.91031</cdr:y>
    </cdr:from>
    <cdr:to>
      <cdr:x>0.91626</cdr:x>
      <cdr:y>0.98208</cdr:y>
    </cdr:to>
    <cdr:sp macro="" textlink="">
      <cdr:nvSpPr>
        <cdr:cNvPr id="4" name="1 CuadroTexto"/>
        <cdr:cNvSpPr txBox="1"/>
      </cdr:nvSpPr>
      <cdr:spPr>
        <a:xfrm xmlns:a="http://schemas.openxmlformats.org/drawingml/2006/main">
          <a:off x="152398" y="3013075"/>
          <a:ext cx="5162552" cy="2375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1" baseline="0"/>
            <a:t> </a:t>
          </a:r>
          <a:r>
            <a:rPr lang="es-CL" sz="1100" b="0" baseline="0"/>
            <a:t>LAPOP Chile, 2012.</a:t>
          </a:r>
          <a:endParaRPr lang="es-CL" sz="1100" b="1"/>
        </a:p>
      </cdr:txBody>
    </cdr:sp>
  </cdr:relSizeAnchor>
</c:userShapes>
</file>

<file path=xl/drawings/drawing56.xml><?xml version="1.0" encoding="utf-8"?>
<c:userShapes xmlns:c="http://schemas.openxmlformats.org/drawingml/2006/chart">
  <cdr:relSizeAnchor xmlns:cdr="http://schemas.openxmlformats.org/drawingml/2006/chartDrawing">
    <cdr:from>
      <cdr:x>0.03034</cdr:x>
      <cdr:y>0.00095</cdr:y>
    </cdr:from>
    <cdr:to>
      <cdr:x>0.99449</cdr:x>
      <cdr:y>0.15644</cdr:y>
    </cdr:to>
    <cdr:sp macro="" textlink="">
      <cdr:nvSpPr>
        <cdr:cNvPr id="2" name="1 CuadroTexto"/>
        <cdr:cNvSpPr txBox="1"/>
      </cdr:nvSpPr>
      <cdr:spPr>
        <a:xfrm xmlns:a="http://schemas.openxmlformats.org/drawingml/2006/main">
          <a:off x="157204" y="3175"/>
          <a:ext cx="4995821" cy="5205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44</a:t>
          </a:r>
        </a:p>
        <a:p xmlns:a="http://schemas.openxmlformats.org/drawingml/2006/main">
          <a:r>
            <a:rPr lang="es-CL" sz="1100" b="0" i="0" baseline="0">
              <a:effectLst/>
              <a:latin typeface="+mn-lt"/>
              <a:ea typeface="+mn-ea"/>
              <a:cs typeface="+mn-cs"/>
            </a:rPr>
            <a:t>Decisión sobre la Reforma Constitucional según Pertenencia a un Pueblo Originario</a:t>
          </a:r>
          <a:endParaRPr lang="es-CL">
            <a:effectLst/>
          </a:endParaRPr>
        </a:p>
      </cdr:txBody>
    </cdr:sp>
  </cdr:relSizeAnchor>
  <cdr:relSizeAnchor xmlns:cdr="http://schemas.openxmlformats.org/drawingml/2006/chartDrawing">
    <cdr:from>
      <cdr:x>0.00363</cdr:x>
      <cdr:y>0.15458</cdr:y>
    </cdr:from>
    <cdr:to>
      <cdr:x>0.10627</cdr:x>
      <cdr:y>0.69162</cdr:y>
    </cdr:to>
    <cdr:sp macro="" textlink="">
      <cdr:nvSpPr>
        <cdr:cNvPr id="3" name="1 CuadroTexto"/>
        <cdr:cNvSpPr txBox="1"/>
      </cdr:nvSpPr>
      <cdr:spPr>
        <a:xfrm xmlns:a="http://schemas.openxmlformats.org/drawingml/2006/main" rot="16200000">
          <a:off x="-562475" y="1102225"/>
          <a:ext cx="1798039" cy="62863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0.036</cdr:x>
      <cdr:y>0.92905</cdr:y>
    </cdr:from>
    <cdr:to>
      <cdr:x>0.87892</cdr:x>
      <cdr:y>1</cdr:y>
    </cdr:to>
    <cdr:sp macro="" textlink="">
      <cdr:nvSpPr>
        <cdr:cNvPr id="4" name="1 CuadroTexto"/>
        <cdr:cNvSpPr txBox="1"/>
      </cdr:nvSpPr>
      <cdr:spPr>
        <a:xfrm xmlns:a="http://schemas.openxmlformats.org/drawingml/2006/main">
          <a:off x="186520" y="3110494"/>
          <a:ext cx="4367696" cy="2375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1" baseline="0"/>
            <a:t> </a:t>
          </a:r>
          <a:r>
            <a:rPr lang="es-CL" sz="1100" b="0" baseline="0"/>
            <a:t>LAPOP Chile, 2012.</a:t>
          </a:r>
          <a:endParaRPr lang="es-CL" sz="1100" b="1"/>
        </a:p>
      </cdr:txBody>
    </cdr:sp>
  </cdr:relSizeAnchor>
</c:userShapes>
</file>

<file path=xl/drawings/drawing57.xml><?xml version="1.0" encoding="utf-8"?>
<c:userShapes xmlns:c="http://schemas.openxmlformats.org/drawingml/2006/chart">
  <cdr:relSizeAnchor xmlns:cdr="http://schemas.openxmlformats.org/drawingml/2006/chartDrawing">
    <cdr:from>
      <cdr:x>0.02392</cdr:x>
      <cdr:y>0</cdr:y>
    </cdr:from>
    <cdr:to>
      <cdr:x>0.79651</cdr:x>
      <cdr:y>0.15203</cdr:y>
    </cdr:to>
    <cdr:sp macro="" textlink="">
      <cdr:nvSpPr>
        <cdr:cNvPr id="2" name="1 CuadroTexto"/>
        <cdr:cNvSpPr txBox="1"/>
      </cdr:nvSpPr>
      <cdr:spPr>
        <a:xfrm xmlns:a="http://schemas.openxmlformats.org/drawingml/2006/main">
          <a:off x="139432" y="0"/>
          <a:ext cx="4503680" cy="5205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45</a:t>
          </a:r>
        </a:p>
        <a:p xmlns:a="http://schemas.openxmlformats.org/drawingml/2006/main">
          <a:r>
            <a:rPr lang="es-CL" sz="1100" b="0" i="0" baseline="0">
              <a:effectLst/>
              <a:latin typeface="+mn-lt"/>
              <a:ea typeface="+mn-ea"/>
              <a:cs typeface="+mn-cs"/>
            </a:rPr>
            <a:t>Decisión sobre la Reforma Constitucional según Posición Política</a:t>
          </a:r>
          <a:endParaRPr lang="es-CL">
            <a:effectLst/>
          </a:endParaRPr>
        </a:p>
      </cdr:txBody>
    </cdr:sp>
  </cdr:relSizeAnchor>
  <cdr:relSizeAnchor xmlns:cdr="http://schemas.openxmlformats.org/drawingml/2006/chartDrawing">
    <cdr:from>
      <cdr:x>0.00194</cdr:x>
      <cdr:y>0.17061</cdr:y>
    </cdr:from>
    <cdr:to>
      <cdr:x>0.09815</cdr:x>
      <cdr:y>0.6957</cdr:y>
    </cdr:to>
    <cdr:sp macro="" textlink="">
      <cdr:nvSpPr>
        <cdr:cNvPr id="3" name="1 CuadroTexto"/>
        <cdr:cNvSpPr txBox="1"/>
      </cdr:nvSpPr>
      <cdr:spPr>
        <a:xfrm xmlns:a="http://schemas.openxmlformats.org/drawingml/2006/main" rot="16200000">
          <a:off x="-572000" y="1168900"/>
          <a:ext cx="1798039" cy="62863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0.03898</cdr:x>
      <cdr:y>0.93063</cdr:y>
    </cdr:from>
    <cdr:to>
      <cdr:x>0.82907</cdr:x>
      <cdr:y>1</cdr:y>
    </cdr:to>
    <cdr:sp macro="" textlink="">
      <cdr:nvSpPr>
        <cdr:cNvPr id="4" name="1 CuadroTexto"/>
        <cdr:cNvSpPr txBox="1"/>
      </cdr:nvSpPr>
      <cdr:spPr>
        <a:xfrm xmlns:a="http://schemas.openxmlformats.org/drawingml/2006/main">
          <a:off x="227212" y="3186693"/>
          <a:ext cx="4605658" cy="2375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1" baseline="0"/>
            <a:t> </a:t>
          </a:r>
          <a:r>
            <a:rPr lang="es-CL" sz="1100" b="0" baseline="0"/>
            <a:t>LAPOP Chile, 2012.</a:t>
          </a:r>
          <a:endParaRPr lang="es-CL" sz="1100" b="1"/>
        </a:p>
      </cdr:txBody>
    </cdr:sp>
  </cdr:relSizeAnchor>
</c:userShapes>
</file>

<file path=xl/drawings/drawing58.xml><?xml version="1.0" encoding="utf-8"?>
<c:userShapes xmlns:c="http://schemas.openxmlformats.org/drawingml/2006/chart">
  <cdr:relSizeAnchor xmlns:cdr="http://schemas.openxmlformats.org/drawingml/2006/chartDrawing">
    <cdr:from>
      <cdr:x>0.00798</cdr:x>
      <cdr:y>0.01504</cdr:y>
    </cdr:from>
    <cdr:to>
      <cdr:x>0.98503</cdr:x>
      <cdr:y>0.16922</cdr:y>
    </cdr:to>
    <cdr:sp macro="" textlink="">
      <cdr:nvSpPr>
        <cdr:cNvPr id="2" name="1 CuadroTexto"/>
        <cdr:cNvSpPr txBox="1"/>
      </cdr:nvSpPr>
      <cdr:spPr>
        <a:xfrm xmlns:a="http://schemas.openxmlformats.org/drawingml/2006/main">
          <a:off x="50800" y="50800"/>
          <a:ext cx="6216650" cy="52059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46</a:t>
          </a:r>
        </a:p>
        <a:p xmlns:a="http://schemas.openxmlformats.org/drawingml/2006/main">
          <a:r>
            <a:rPr lang="es-CL" sz="1100" b="0" i="0" baseline="0">
              <a:effectLst/>
              <a:latin typeface="+mn-lt"/>
              <a:ea typeface="+mn-ea"/>
              <a:cs typeface="+mn-cs"/>
            </a:rPr>
            <a:t>Decisión sobre la Reforma Constitucional según  Auto-Identificación en el Eje Liberal-Conservador</a:t>
          </a:r>
          <a:endParaRPr lang="es-CL">
            <a:effectLst/>
          </a:endParaRPr>
        </a:p>
      </cdr:txBody>
    </cdr:sp>
  </cdr:relSizeAnchor>
  <cdr:relSizeAnchor xmlns:cdr="http://schemas.openxmlformats.org/drawingml/2006/chartDrawing">
    <cdr:from>
      <cdr:x>0.01098</cdr:x>
      <cdr:y>0.1843</cdr:y>
    </cdr:from>
    <cdr:to>
      <cdr:x>0.04586</cdr:x>
      <cdr:y>0.71679</cdr:y>
    </cdr:to>
    <cdr:sp macro="" textlink="">
      <cdr:nvSpPr>
        <cdr:cNvPr id="3" name="1 CuadroTexto"/>
        <cdr:cNvSpPr txBox="1"/>
      </cdr:nvSpPr>
      <cdr:spPr>
        <a:xfrm xmlns:a="http://schemas.openxmlformats.org/drawingml/2006/main" rot="16200000">
          <a:off x="-718196" y="1410346"/>
          <a:ext cx="1798021" cy="2219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cdr:x>
      <cdr:y>0.92965</cdr:y>
    </cdr:from>
    <cdr:to>
      <cdr:x>0.63716</cdr:x>
      <cdr:y>1</cdr:y>
    </cdr:to>
    <cdr:sp macro="" textlink="">
      <cdr:nvSpPr>
        <cdr:cNvPr id="4" name="1 CuadroTexto"/>
        <cdr:cNvSpPr txBox="1"/>
      </cdr:nvSpPr>
      <cdr:spPr>
        <a:xfrm xmlns:a="http://schemas.openxmlformats.org/drawingml/2006/main">
          <a:off x="0" y="3139065"/>
          <a:ext cx="4054056" cy="23754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1" baseline="0"/>
            <a:t> </a:t>
          </a:r>
          <a:r>
            <a:rPr lang="es-CL" sz="1100" b="0" baseline="0"/>
            <a:t>LAPOP Chile, 2012.</a:t>
          </a:r>
          <a:endParaRPr lang="es-CL" sz="1100" b="1"/>
        </a:p>
      </cdr:txBody>
    </cdr:sp>
  </cdr:relSizeAnchor>
</c:userShapes>
</file>

<file path=xl/drawings/drawing59.xml><?xml version="1.0" encoding="utf-8"?>
<c:userShapes xmlns:c="http://schemas.openxmlformats.org/drawingml/2006/chart">
  <cdr:relSizeAnchor xmlns:cdr="http://schemas.openxmlformats.org/drawingml/2006/chartDrawing">
    <cdr:from>
      <cdr:x>0.01101</cdr:x>
      <cdr:y>0.18149</cdr:y>
    </cdr:from>
    <cdr:to>
      <cdr:x>0.06145</cdr:x>
      <cdr:y>0.68013</cdr:y>
    </cdr:to>
    <cdr:sp macro="" textlink="">
      <cdr:nvSpPr>
        <cdr:cNvPr id="2" name="1 CuadroTexto"/>
        <cdr:cNvSpPr txBox="1"/>
      </cdr:nvSpPr>
      <cdr:spPr>
        <a:xfrm xmlns:a="http://schemas.openxmlformats.org/drawingml/2006/main" rot="16200000">
          <a:off x="-669550" y="1361700"/>
          <a:ext cx="1735975" cy="2762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a:t>
          </a:r>
          <a:r>
            <a:rPr lang="es-CL" sz="1100" baseline="0"/>
            <a:t> de Menciones</a:t>
          </a:r>
          <a:endParaRPr lang="es-CL" sz="1100"/>
        </a:p>
      </cdr:txBody>
    </cdr:sp>
  </cdr:relSizeAnchor>
  <cdr:relSizeAnchor xmlns:cdr="http://schemas.openxmlformats.org/drawingml/2006/chartDrawing">
    <cdr:from>
      <cdr:x>0.0371</cdr:x>
      <cdr:y>0.922</cdr:y>
    </cdr:from>
    <cdr:to>
      <cdr:x>0.53275</cdr:x>
      <cdr:y>1</cdr:y>
    </cdr:to>
    <cdr:sp macro="" textlink="">
      <cdr:nvSpPr>
        <cdr:cNvPr id="3" name="1 CuadroTexto"/>
        <cdr:cNvSpPr txBox="1"/>
      </cdr:nvSpPr>
      <cdr:spPr>
        <a:xfrm xmlns:a="http://schemas.openxmlformats.org/drawingml/2006/main">
          <a:off x="203200" y="3209839"/>
          <a:ext cx="2714625" cy="27154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0"/>
            <a:t> LAPOP, 2012.</a:t>
          </a:r>
          <a:endParaRPr lang="es-CL" sz="1100" b="1"/>
        </a:p>
      </cdr:txBody>
    </cdr:sp>
  </cdr:relSizeAnchor>
  <cdr:relSizeAnchor xmlns:cdr="http://schemas.openxmlformats.org/drawingml/2006/chartDrawing">
    <cdr:from>
      <cdr:x>0.00928</cdr:x>
      <cdr:y>0.01459</cdr:y>
    </cdr:from>
    <cdr:to>
      <cdr:x>0.92754</cdr:x>
      <cdr:y>0.14512</cdr:y>
    </cdr:to>
    <cdr:sp macro="" textlink="">
      <cdr:nvSpPr>
        <cdr:cNvPr id="4" name="1 CuadroTexto"/>
        <cdr:cNvSpPr txBox="1"/>
      </cdr:nvSpPr>
      <cdr:spPr>
        <a:xfrm xmlns:a="http://schemas.openxmlformats.org/drawingml/2006/main">
          <a:off x="50800" y="50800"/>
          <a:ext cx="5029200" cy="4544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48</a:t>
          </a:r>
        </a:p>
        <a:p xmlns:a="http://schemas.openxmlformats.org/drawingml/2006/main">
          <a:r>
            <a:rPr lang="es-CL" sz="1100" b="0" i="0" baseline="0">
              <a:effectLst/>
              <a:latin typeface="+mn-lt"/>
              <a:ea typeface="+mn-ea"/>
              <a:cs typeface="+mn-cs"/>
            </a:rPr>
            <a:t>Decisión sobre la Reforma Constitucional según  Satisfacción con la Democracia</a:t>
          </a:r>
          <a:endParaRPr lang="es-CL">
            <a:effectLst/>
          </a:endParaRPr>
        </a:p>
      </cdr:txBody>
    </cdr:sp>
  </cdr:relSizeAnchor>
</c:userShapes>
</file>

<file path=xl/drawings/drawing60.xml><?xml version="1.0" encoding="utf-8"?>
<c:userShapes xmlns:c="http://schemas.openxmlformats.org/drawingml/2006/chart">
  <cdr:relSizeAnchor xmlns:cdr="http://schemas.openxmlformats.org/drawingml/2006/chartDrawing">
    <cdr:from>
      <cdr:x>0.01841</cdr:x>
      <cdr:y>0.01023</cdr:y>
    </cdr:from>
    <cdr:to>
      <cdr:x>0.95552</cdr:x>
      <cdr:y>0.13929</cdr:y>
    </cdr:to>
    <cdr:sp macro="" textlink="">
      <cdr:nvSpPr>
        <cdr:cNvPr id="2" name="1 CuadroTexto"/>
        <cdr:cNvSpPr txBox="1"/>
      </cdr:nvSpPr>
      <cdr:spPr>
        <a:xfrm xmlns:a="http://schemas.openxmlformats.org/drawingml/2006/main">
          <a:off x="114301" y="41275"/>
          <a:ext cx="5819774" cy="5205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49</a:t>
          </a:r>
        </a:p>
        <a:p xmlns:a="http://schemas.openxmlformats.org/drawingml/2006/main">
          <a:r>
            <a:rPr lang="es-CL" sz="1100" b="0" i="0" baseline="0">
              <a:effectLst/>
              <a:latin typeface="+mn-lt"/>
              <a:ea typeface="+mn-ea"/>
              <a:cs typeface="+mn-cs"/>
            </a:rPr>
            <a:t>Decisión sobre la Reforma Constitucional según Respeto a Instituciones Políticas  de Chile</a:t>
          </a:r>
          <a:endParaRPr lang="es-CL">
            <a:effectLst/>
          </a:endParaRPr>
        </a:p>
      </cdr:txBody>
    </cdr:sp>
  </cdr:relSizeAnchor>
  <cdr:relSizeAnchor xmlns:cdr="http://schemas.openxmlformats.org/drawingml/2006/chartDrawing">
    <cdr:from>
      <cdr:x>0.00665</cdr:x>
      <cdr:y>0.2133</cdr:y>
    </cdr:from>
    <cdr:to>
      <cdr:x>0.06442</cdr:x>
      <cdr:y>0.74966</cdr:y>
    </cdr:to>
    <cdr:sp macro="" textlink="">
      <cdr:nvSpPr>
        <cdr:cNvPr id="3" name="1 CuadroTexto"/>
        <cdr:cNvSpPr txBox="1"/>
      </cdr:nvSpPr>
      <cdr:spPr>
        <a:xfrm xmlns:a="http://schemas.openxmlformats.org/drawingml/2006/main" rot="16200000">
          <a:off x="-707856" y="1487655"/>
          <a:ext cx="1857040" cy="35877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0.02812</cdr:x>
      <cdr:y>0.91771</cdr:y>
    </cdr:from>
    <cdr:to>
      <cdr:x>0.27607</cdr:x>
      <cdr:y>0.989</cdr:y>
    </cdr:to>
    <cdr:sp macro="" textlink="">
      <cdr:nvSpPr>
        <cdr:cNvPr id="4" name="1 CuadroTexto"/>
        <cdr:cNvSpPr txBox="1"/>
      </cdr:nvSpPr>
      <cdr:spPr>
        <a:xfrm xmlns:a="http://schemas.openxmlformats.org/drawingml/2006/main">
          <a:off x="174625" y="3177429"/>
          <a:ext cx="1539875" cy="2468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b="1">
              <a:effectLst/>
            </a:rPr>
            <a:t>Fuente:</a:t>
          </a:r>
          <a:r>
            <a:rPr lang="es-CL" b="1" baseline="0">
              <a:effectLst/>
            </a:rPr>
            <a:t> </a:t>
          </a:r>
          <a:r>
            <a:rPr lang="es-CL" b="0" baseline="0">
              <a:effectLst/>
            </a:rPr>
            <a:t>LAPOP, 2012.</a:t>
          </a:r>
          <a:endParaRPr lang="es-CL" b="1">
            <a:effectLst/>
          </a:endParaRPr>
        </a:p>
      </cdr:txBody>
    </cdr:sp>
  </cdr:relSizeAnchor>
</c:userShapes>
</file>

<file path=xl/drawings/drawing61.xml><?xml version="1.0" encoding="utf-8"?>
<c:userShapes xmlns:c="http://schemas.openxmlformats.org/drawingml/2006/chart">
  <cdr:relSizeAnchor xmlns:cdr="http://schemas.openxmlformats.org/drawingml/2006/chartDrawing">
    <cdr:from>
      <cdr:x>0.02128</cdr:x>
      <cdr:y>0</cdr:y>
    </cdr:from>
    <cdr:to>
      <cdr:x>0.88871</cdr:x>
      <cdr:y>0.1255</cdr:y>
    </cdr:to>
    <cdr:sp macro="" textlink="">
      <cdr:nvSpPr>
        <cdr:cNvPr id="2" name="1 CuadroTexto"/>
        <cdr:cNvSpPr txBox="1"/>
      </cdr:nvSpPr>
      <cdr:spPr>
        <a:xfrm xmlns:a="http://schemas.openxmlformats.org/drawingml/2006/main">
          <a:off x="123832" y="0"/>
          <a:ext cx="5048243" cy="43392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50</a:t>
          </a:r>
        </a:p>
        <a:p xmlns:a="http://schemas.openxmlformats.org/drawingml/2006/main">
          <a:r>
            <a:rPr lang="es-CL" sz="1100" b="0" i="0" u="none" strike="noStrike" baseline="0" smtClean="0">
              <a:latin typeface="+mn-lt"/>
              <a:ea typeface="+mn-ea"/>
              <a:cs typeface="+mn-cs"/>
            </a:rPr>
            <a:t>Decisión sobre la Reforma Constitucional según Apoyo al Sistema Político de Chile</a:t>
          </a:r>
          <a:endParaRPr lang="es-CL" sz="1100" b="1"/>
        </a:p>
      </cdr:txBody>
    </cdr:sp>
  </cdr:relSizeAnchor>
  <cdr:relSizeAnchor xmlns:cdr="http://schemas.openxmlformats.org/drawingml/2006/chartDrawing">
    <cdr:from>
      <cdr:x>0.00873</cdr:x>
      <cdr:y>0.19365</cdr:y>
    </cdr:from>
    <cdr:to>
      <cdr:x>0.05401</cdr:x>
      <cdr:y>0.71074</cdr:y>
    </cdr:to>
    <cdr:sp macro="" textlink="">
      <cdr:nvSpPr>
        <cdr:cNvPr id="3" name="1 CuadroTexto"/>
        <cdr:cNvSpPr txBox="1"/>
      </cdr:nvSpPr>
      <cdr:spPr>
        <a:xfrm xmlns:a="http://schemas.openxmlformats.org/drawingml/2006/main" rot="16200000">
          <a:off x="-711386" y="1431738"/>
          <a:ext cx="1787902" cy="26352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0.04092</cdr:x>
      <cdr:y>0.94273</cdr:y>
    </cdr:from>
    <cdr:to>
      <cdr:x>0.92799</cdr:x>
      <cdr:y>1</cdr:y>
    </cdr:to>
    <cdr:sp macro="" textlink="">
      <cdr:nvSpPr>
        <cdr:cNvPr id="4" name="1 CuadroTexto"/>
        <cdr:cNvSpPr txBox="1"/>
      </cdr:nvSpPr>
      <cdr:spPr>
        <a:xfrm xmlns:a="http://schemas.openxmlformats.org/drawingml/2006/main">
          <a:off x="238123" y="3259576"/>
          <a:ext cx="5162552" cy="19799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1" baseline="0"/>
            <a:t> </a:t>
          </a:r>
          <a:r>
            <a:rPr lang="es-CL" sz="1100" b="0" baseline="0"/>
            <a:t>LAPOP Chile, 2012.</a:t>
          </a:r>
          <a:endParaRPr lang="es-CL" sz="1100" b="1"/>
        </a:p>
      </cdr:txBody>
    </cdr:sp>
  </cdr:relSizeAnchor>
</c:userShapes>
</file>

<file path=xl/drawings/drawing62.xml><?xml version="1.0" encoding="utf-8"?>
<c:userShapes xmlns:c="http://schemas.openxmlformats.org/drawingml/2006/chart">
  <cdr:relSizeAnchor xmlns:cdr="http://schemas.openxmlformats.org/drawingml/2006/chartDrawing">
    <cdr:from>
      <cdr:x>0</cdr:x>
      <cdr:y>0.93696</cdr:y>
    </cdr:from>
    <cdr:to>
      <cdr:x>0.78445</cdr:x>
      <cdr:y>0.99447</cdr:y>
    </cdr:to>
    <cdr:sp macro="" textlink="">
      <cdr:nvSpPr>
        <cdr:cNvPr id="2" name="1 CuadroTexto"/>
        <cdr:cNvSpPr txBox="1"/>
      </cdr:nvSpPr>
      <cdr:spPr>
        <a:xfrm xmlns:a="http://schemas.openxmlformats.org/drawingml/2006/main">
          <a:off x="0" y="3226223"/>
          <a:ext cx="4714732" cy="19801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1" baseline="0"/>
            <a:t> </a:t>
          </a:r>
          <a:r>
            <a:rPr lang="es-CL" sz="1100" b="0" baseline="0"/>
            <a:t>LAPOP Chile, 2012.</a:t>
          </a:r>
          <a:endParaRPr lang="es-CL" sz="1100" b="1"/>
        </a:p>
      </cdr:txBody>
    </cdr:sp>
  </cdr:relSizeAnchor>
  <cdr:relSizeAnchor xmlns:cdr="http://schemas.openxmlformats.org/drawingml/2006/chartDrawing">
    <cdr:from>
      <cdr:x>0.00845</cdr:x>
      <cdr:y>0</cdr:y>
    </cdr:from>
    <cdr:to>
      <cdr:x>0.83201</cdr:x>
      <cdr:y>0.12602</cdr:y>
    </cdr:to>
    <cdr:sp macro="" textlink="">
      <cdr:nvSpPr>
        <cdr:cNvPr id="3" name="1 CuadroTexto"/>
        <cdr:cNvSpPr txBox="1"/>
      </cdr:nvSpPr>
      <cdr:spPr>
        <a:xfrm xmlns:a="http://schemas.openxmlformats.org/drawingml/2006/main">
          <a:off x="50800" y="0"/>
          <a:ext cx="4949826" cy="43392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51</a:t>
          </a:r>
        </a:p>
        <a:p xmlns:a="http://schemas.openxmlformats.org/drawingml/2006/main">
          <a:r>
            <a:rPr lang="es-CL" sz="1100" b="0" i="0" u="none" strike="noStrike" baseline="0" smtClean="0">
              <a:latin typeface="+mn-lt"/>
              <a:ea typeface="+mn-ea"/>
              <a:cs typeface="+mn-cs"/>
            </a:rPr>
            <a:t>Decisión sobre la Reforma Constitucional según Confianza en las Instituciones</a:t>
          </a:r>
          <a:endParaRPr lang="es-CL" sz="1100" b="1"/>
        </a:p>
      </cdr:txBody>
    </cdr:sp>
  </cdr:relSizeAnchor>
  <cdr:relSizeAnchor xmlns:cdr="http://schemas.openxmlformats.org/drawingml/2006/chartDrawing">
    <cdr:from>
      <cdr:x>0.00845</cdr:x>
      <cdr:y>0.19456</cdr:y>
    </cdr:from>
    <cdr:to>
      <cdr:x>0.04849</cdr:x>
      <cdr:y>0.7138</cdr:y>
    </cdr:to>
    <cdr:sp macro="" textlink="">
      <cdr:nvSpPr>
        <cdr:cNvPr id="4" name="1 CuadroTexto"/>
        <cdr:cNvSpPr txBox="1"/>
      </cdr:nvSpPr>
      <cdr:spPr>
        <a:xfrm xmlns:a="http://schemas.openxmlformats.org/drawingml/2006/main" rot="16200000">
          <a:off x="-722809" y="1443534"/>
          <a:ext cx="1787878" cy="24066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userShapes>
</file>

<file path=xl/drawings/drawing63.xml><?xml version="1.0" encoding="utf-8"?>
<c:userShapes xmlns:c="http://schemas.openxmlformats.org/drawingml/2006/chart">
  <cdr:relSizeAnchor xmlns:cdr="http://schemas.openxmlformats.org/drawingml/2006/chartDrawing">
    <cdr:from>
      <cdr:x>0.00849</cdr:x>
      <cdr:y>0.01451</cdr:y>
    </cdr:from>
    <cdr:to>
      <cdr:x>0.84926</cdr:x>
      <cdr:y>0.14433</cdr:y>
    </cdr:to>
    <cdr:sp macro="" textlink="">
      <cdr:nvSpPr>
        <cdr:cNvPr id="2" name="1 CuadroTexto"/>
        <cdr:cNvSpPr txBox="1"/>
      </cdr:nvSpPr>
      <cdr:spPr>
        <a:xfrm xmlns:a="http://schemas.openxmlformats.org/drawingml/2006/main">
          <a:off x="50800" y="50800"/>
          <a:ext cx="5029200" cy="4544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53</a:t>
          </a:r>
        </a:p>
        <a:p xmlns:a="http://schemas.openxmlformats.org/drawingml/2006/main">
          <a:r>
            <a:rPr lang="es-CL" sz="1100" b="0" i="0" baseline="0">
              <a:effectLst/>
              <a:latin typeface="+mn-lt"/>
              <a:ea typeface="+mn-ea"/>
              <a:cs typeface="+mn-cs"/>
            </a:rPr>
            <a:t>Decisión sobre la Reforma Constitucional según  Simpatía con algún Partido Político</a:t>
          </a:r>
          <a:endParaRPr lang="es-CL">
            <a:effectLst/>
          </a:endParaRPr>
        </a:p>
      </cdr:txBody>
    </cdr:sp>
  </cdr:relSizeAnchor>
  <cdr:relSizeAnchor xmlns:cdr="http://schemas.openxmlformats.org/drawingml/2006/chartDrawing">
    <cdr:from>
      <cdr:x>0.02282</cdr:x>
      <cdr:y>0.92242</cdr:y>
    </cdr:from>
    <cdr:to>
      <cdr:x>0.47665</cdr:x>
      <cdr:y>1</cdr:y>
    </cdr:to>
    <cdr:sp macro="" textlink="">
      <cdr:nvSpPr>
        <cdr:cNvPr id="3" name="1 CuadroTexto"/>
        <cdr:cNvSpPr txBox="1"/>
      </cdr:nvSpPr>
      <cdr:spPr>
        <a:xfrm xmlns:a="http://schemas.openxmlformats.org/drawingml/2006/main">
          <a:off x="136525" y="3228889"/>
          <a:ext cx="2714625" cy="27154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0"/>
            <a:t> LAPOP, 2012.</a:t>
          </a:r>
          <a:endParaRPr lang="es-CL" sz="1100" b="1"/>
        </a:p>
      </cdr:txBody>
    </cdr:sp>
  </cdr:relSizeAnchor>
  <cdr:relSizeAnchor xmlns:cdr="http://schemas.openxmlformats.org/drawingml/2006/chartDrawing">
    <cdr:from>
      <cdr:x>0.01168</cdr:x>
      <cdr:y>0.18866</cdr:y>
    </cdr:from>
    <cdr:to>
      <cdr:x>0.05786</cdr:x>
      <cdr:y>0.68459</cdr:y>
    </cdr:to>
    <cdr:sp macro="" textlink="">
      <cdr:nvSpPr>
        <cdr:cNvPr id="4" name="1 CuadroTexto"/>
        <cdr:cNvSpPr txBox="1"/>
      </cdr:nvSpPr>
      <cdr:spPr>
        <a:xfrm xmlns:a="http://schemas.openxmlformats.org/drawingml/2006/main" rot="16200000">
          <a:off x="-660025" y="1390275"/>
          <a:ext cx="1735975" cy="2762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a:t>
          </a:r>
          <a:r>
            <a:rPr lang="es-CL" sz="1100" baseline="0"/>
            <a:t> de Menciones</a:t>
          </a:r>
          <a:endParaRPr lang="es-CL" sz="1100"/>
        </a:p>
      </cdr:txBody>
    </cdr:sp>
  </cdr:relSizeAnchor>
</c:userShapes>
</file>

<file path=xl/drawings/drawing64.xml><?xml version="1.0" encoding="utf-8"?>
<c:userShapes xmlns:c="http://schemas.openxmlformats.org/drawingml/2006/chart">
  <cdr:relSizeAnchor xmlns:cdr="http://schemas.openxmlformats.org/drawingml/2006/chartDrawing">
    <cdr:from>
      <cdr:x>0.01924</cdr:x>
      <cdr:y>0.00336</cdr:y>
    </cdr:from>
    <cdr:to>
      <cdr:x>0.84607</cdr:x>
      <cdr:y>0.14121</cdr:y>
    </cdr:to>
    <cdr:sp macro="" textlink="">
      <cdr:nvSpPr>
        <cdr:cNvPr id="2" name="1 CuadroTexto"/>
        <cdr:cNvSpPr txBox="1"/>
      </cdr:nvSpPr>
      <cdr:spPr>
        <a:xfrm xmlns:a="http://schemas.openxmlformats.org/drawingml/2006/main">
          <a:off x="117475" y="12700"/>
          <a:ext cx="5048243" cy="5205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52</a:t>
          </a:r>
        </a:p>
        <a:p xmlns:a="http://schemas.openxmlformats.org/drawingml/2006/main">
          <a:r>
            <a:rPr lang="es-CL" sz="1100" b="0" i="0" baseline="0">
              <a:effectLst/>
              <a:latin typeface="+mn-lt"/>
              <a:ea typeface="+mn-ea"/>
              <a:cs typeface="+mn-cs"/>
            </a:rPr>
            <a:t>Decisión sobre la Reforma Constitucional según  Interés en la Política</a:t>
          </a:r>
          <a:endParaRPr lang="es-CL">
            <a:effectLst/>
          </a:endParaRPr>
        </a:p>
      </cdr:txBody>
    </cdr:sp>
  </cdr:relSizeAnchor>
  <cdr:relSizeAnchor xmlns:cdr="http://schemas.openxmlformats.org/drawingml/2006/chartDrawing">
    <cdr:from>
      <cdr:x>0.00832</cdr:x>
      <cdr:y>0.19756</cdr:y>
    </cdr:from>
    <cdr:to>
      <cdr:x>0.11128</cdr:x>
      <cdr:y>0.67365</cdr:y>
    </cdr:to>
    <cdr:sp macro="" textlink="">
      <cdr:nvSpPr>
        <cdr:cNvPr id="3" name="1 CuadroTexto"/>
        <cdr:cNvSpPr txBox="1"/>
      </cdr:nvSpPr>
      <cdr:spPr>
        <a:xfrm xmlns:a="http://schemas.openxmlformats.org/drawingml/2006/main" rot="16200000">
          <a:off x="-533900" y="1330825"/>
          <a:ext cx="1798039" cy="62863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0.02548</cdr:x>
      <cdr:y>0.92896</cdr:y>
    </cdr:from>
    <cdr:to>
      <cdr:x>0.87104</cdr:x>
      <cdr:y>0.99186</cdr:y>
    </cdr:to>
    <cdr:sp macro="" textlink="">
      <cdr:nvSpPr>
        <cdr:cNvPr id="4" name="1 CuadroTexto"/>
        <cdr:cNvSpPr txBox="1"/>
      </cdr:nvSpPr>
      <cdr:spPr>
        <a:xfrm xmlns:a="http://schemas.openxmlformats.org/drawingml/2006/main">
          <a:off x="155575" y="3508375"/>
          <a:ext cx="5162552" cy="2375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1" baseline="0"/>
            <a:t> </a:t>
          </a:r>
          <a:r>
            <a:rPr lang="es-CL" sz="1100" b="0" baseline="0"/>
            <a:t>LAPOP Chile, 2012.</a:t>
          </a:r>
          <a:endParaRPr lang="es-CL" sz="1100" b="1"/>
        </a:p>
      </cdr:txBody>
    </cdr:sp>
  </cdr:relSizeAnchor>
</c:userShapes>
</file>

<file path=xl/drawings/drawing65.xml><?xml version="1.0" encoding="utf-8"?>
<c:userShapes xmlns:c="http://schemas.openxmlformats.org/drawingml/2006/chart">
  <cdr:relSizeAnchor xmlns:cdr="http://schemas.openxmlformats.org/drawingml/2006/chartDrawing">
    <cdr:from>
      <cdr:x>0.00526</cdr:x>
      <cdr:y>0.02208</cdr:y>
    </cdr:from>
    <cdr:to>
      <cdr:x>1</cdr:x>
      <cdr:y>0.16686</cdr:y>
    </cdr:to>
    <cdr:sp macro="" textlink="">
      <cdr:nvSpPr>
        <cdr:cNvPr id="2" name="1 CuadroTexto"/>
        <cdr:cNvSpPr txBox="1"/>
      </cdr:nvSpPr>
      <cdr:spPr>
        <a:xfrm xmlns:a="http://schemas.openxmlformats.org/drawingml/2006/main">
          <a:off x="28575" y="76326"/>
          <a:ext cx="5400675" cy="50059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54</a:t>
          </a:r>
        </a:p>
        <a:p xmlns:a="http://schemas.openxmlformats.org/drawingml/2006/main">
          <a:r>
            <a:rPr lang="es-CL" sz="1100" b="0" i="0" baseline="0">
              <a:effectLst/>
              <a:latin typeface="+mn-lt"/>
              <a:ea typeface="+mn-ea"/>
              <a:cs typeface="+mn-cs"/>
            </a:rPr>
            <a:t>Decisión sobre la Reforma Constitucional según Participación en Protestas en el último año</a:t>
          </a:r>
          <a:endParaRPr lang="es-CL">
            <a:effectLst/>
          </a:endParaRPr>
        </a:p>
      </cdr:txBody>
    </cdr:sp>
  </cdr:relSizeAnchor>
  <cdr:relSizeAnchor xmlns:cdr="http://schemas.openxmlformats.org/drawingml/2006/chartDrawing">
    <cdr:from>
      <cdr:x>0.01128</cdr:x>
      <cdr:y>0.2287</cdr:y>
    </cdr:from>
    <cdr:to>
      <cdr:x>0.06615</cdr:x>
      <cdr:y>0.72875</cdr:y>
    </cdr:to>
    <cdr:sp macro="" textlink="">
      <cdr:nvSpPr>
        <cdr:cNvPr id="3" name="1 CuadroTexto"/>
        <cdr:cNvSpPr txBox="1"/>
      </cdr:nvSpPr>
      <cdr:spPr>
        <a:xfrm xmlns:a="http://schemas.openxmlformats.org/drawingml/2006/main" rot="16200000">
          <a:off x="-659307" y="1551481"/>
          <a:ext cx="1798039" cy="3397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0.02753</cdr:x>
      <cdr:y>0.93344</cdr:y>
    </cdr:from>
    <cdr:to>
      <cdr:x>0.86138</cdr:x>
      <cdr:y>0.9995</cdr:y>
    </cdr:to>
    <cdr:sp macro="" textlink="">
      <cdr:nvSpPr>
        <cdr:cNvPr id="4" name="1 CuadroTexto"/>
        <cdr:cNvSpPr txBox="1"/>
      </cdr:nvSpPr>
      <cdr:spPr>
        <a:xfrm xmlns:a="http://schemas.openxmlformats.org/drawingml/2006/main">
          <a:off x="149469" y="3227435"/>
          <a:ext cx="4527161" cy="22842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1" baseline="0"/>
            <a:t> </a:t>
          </a:r>
          <a:r>
            <a:rPr lang="es-CL" sz="1100" b="0" baseline="0"/>
            <a:t>LAPOP Chile, 2012.</a:t>
          </a:r>
          <a:endParaRPr lang="es-CL" sz="1100" b="1"/>
        </a:p>
      </cdr:txBody>
    </cdr:sp>
  </cdr:relSizeAnchor>
</c:userShapes>
</file>

<file path=xl/drawings/drawing66.xml><?xml version="1.0" encoding="utf-8"?>
<c:userShapes xmlns:c="http://schemas.openxmlformats.org/drawingml/2006/chart">
  <cdr:relSizeAnchor xmlns:cdr="http://schemas.openxmlformats.org/drawingml/2006/chartDrawing">
    <cdr:from>
      <cdr:x>0.02732</cdr:x>
      <cdr:y>0.92079</cdr:y>
    </cdr:from>
    <cdr:to>
      <cdr:x>0.68306</cdr:x>
      <cdr:y>1</cdr:y>
    </cdr:to>
    <cdr:sp macro="" textlink="">
      <cdr:nvSpPr>
        <cdr:cNvPr id="2" name="1 CuadroTexto"/>
        <cdr:cNvSpPr txBox="1"/>
      </cdr:nvSpPr>
      <cdr:spPr>
        <a:xfrm xmlns:a="http://schemas.openxmlformats.org/drawingml/2006/main">
          <a:off x="174625" y="3003890"/>
          <a:ext cx="4191000" cy="25842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0"/>
            <a:t> LAPOP, 2012.</a:t>
          </a:r>
        </a:p>
        <a:p xmlns:a="http://schemas.openxmlformats.org/drawingml/2006/main">
          <a:endParaRPr lang="es-CL" sz="1100" b="1"/>
        </a:p>
      </cdr:txBody>
    </cdr:sp>
  </cdr:relSizeAnchor>
  <cdr:relSizeAnchor xmlns:cdr="http://schemas.openxmlformats.org/drawingml/2006/chartDrawing">
    <cdr:from>
      <cdr:x>0.01838</cdr:x>
      <cdr:y>0.19659</cdr:y>
    </cdr:from>
    <cdr:to>
      <cdr:x>0.06458</cdr:x>
      <cdr:y>0.72469</cdr:y>
    </cdr:to>
    <cdr:sp macro="" textlink="">
      <cdr:nvSpPr>
        <cdr:cNvPr id="3" name="1 CuadroTexto"/>
        <cdr:cNvSpPr txBox="1"/>
      </cdr:nvSpPr>
      <cdr:spPr>
        <a:xfrm xmlns:a="http://schemas.openxmlformats.org/drawingml/2006/main" rot="16200000">
          <a:off x="-596299" y="1355124"/>
          <a:ext cx="1722823" cy="29527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0.01838</cdr:x>
      <cdr:y>0.01849</cdr:y>
    </cdr:from>
    <cdr:to>
      <cdr:x>0.80527</cdr:x>
      <cdr:y>0.15779</cdr:y>
    </cdr:to>
    <cdr:sp macro="" textlink="">
      <cdr:nvSpPr>
        <cdr:cNvPr id="4" name="1 CuadroTexto"/>
        <cdr:cNvSpPr txBox="1"/>
      </cdr:nvSpPr>
      <cdr:spPr>
        <a:xfrm xmlns:a="http://schemas.openxmlformats.org/drawingml/2006/main">
          <a:off x="117475" y="60325"/>
          <a:ext cx="5029200" cy="4544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55</a:t>
          </a:r>
        </a:p>
        <a:p xmlns:a="http://schemas.openxmlformats.org/drawingml/2006/main">
          <a:r>
            <a:rPr lang="es-CL" sz="1100" b="0" i="0" baseline="0">
              <a:effectLst/>
              <a:latin typeface="+mn-lt"/>
              <a:ea typeface="+mn-ea"/>
              <a:cs typeface="+mn-cs"/>
            </a:rPr>
            <a:t>Decisión sobre la Reforma Constitucional según  Satisfacción con Escuelas Públicas</a:t>
          </a:r>
          <a:endParaRPr lang="es-CL">
            <a:effectLst/>
          </a:endParaRPr>
        </a:p>
      </cdr:txBody>
    </cdr:sp>
  </cdr:relSizeAnchor>
</c:userShapes>
</file>

<file path=xl/drawings/drawing67.xml><?xml version="1.0" encoding="utf-8"?>
<c:userShapes xmlns:c="http://schemas.openxmlformats.org/drawingml/2006/chart">
  <cdr:relSizeAnchor xmlns:cdr="http://schemas.openxmlformats.org/drawingml/2006/chartDrawing">
    <cdr:from>
      <cdr:x>0.02664</cdr:x>
      <cdr:y>0.01247</cdr:y>
    </cdr:from>
    <cdr:to>
      <cdr:x>0.98571</cdr:x>
      <cdr:y>0.14976</cdr:y>
    </cdr:to>
    <cdr:sp macro="" textlink="">
      <cdr:nvSpPr>
        <cdr:cNvPr id="2" name="1 CuadroTexto"/>
        <cdr:cNvSpPr txBox="1"/>
      </cdr:nvSpPr>
      <cdr:spPr>
        <a:xfrm xmlns:a="http://schemas.openxmlformats.org/drawingml/2006/main">
          <a:off x="159859" y="41275"/>
          <a:ext cx="5755167" cy="4544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56</a:t>
          </a:r>
        </a:p>
        <a:p xmlns:a="http://schemas.openxmlformats.org/drawingml/2006/main">
          <a:r>
            <a:rPr lang="es-CL" sz="1100" b="0" i="0" baseline="0">
              <a:effectLst/>
              <a:latin typeface="+mn-lt"/>
              <a:ea typeface="+mn-ea"/>
              <a:cs typeface="+mn-cs"/>
            </a:rPr>
            <a:t>Decisión sobre la Reforma Constitucional según  Percepción de la Calidad de la Educación Pública</a:t>
          </a:r>
          <a:endParaRPr lang="es-CL">
            <a:effectLst/>
          </a:endParaRPr>
        </a:p>
      </cdr:txBody>
    </cdr:sp>
  </cdr:relSizeAnchor>
  <cdr:relSizeAnchor xmlns:cdr="http://schemas.openxmlformats.org/drawingml/2006/chartDrawing">
    <cdr:from>
      <cdr:x>0.01005</cdr:x>
      <cdr:y>0.19376</cdr:y>
    </cdr:from>
    <cdr:to>
      <cdr:x>0.06085</cdr:x>
      <cdr:y>0.69448</cdr:y>
    </cdr:to>
    <cdr:sp macro="" textlink="">
      <cdr:nvSpPr>
        <cdr:cNvPr id="3" name="1 CuadroTexto"/>
        <cdr:cNvSpPr txBox="1"/>
      </cdr:nvSpPr>
      <cdr:spPr>
        <a:xfrm xmlns:a="http://schemas.openxmlformats.org/drawingml/2006/main" rot="16200000">
          <a:off x="-615950" y="1317625"/>
          <a:ext cx="1657350" cy="3048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a:t>
          </a:r>
          <a:r>
            <a:rPr lang="es-CL" sz="1100" baseline="0"/>
            <a:t> de Menciones</a:t>
          </a:r>
          <a:endParaRPr lang="es-CL" sz="1100"/>
        </a:p>
      </cdr:txBody>
    </cdr:sp>
  </cdr:relSizeAnchor>
  <cdr:relSizeAnchor xmlns:cdr="http://schemas.openxmlformats.org/drawingml/2006/chartDrawing">
    <cdr:from>
      <cdr:x>0.03862</cdr:x>
      <cdr:y>0.91319</cdr:y>
    </cdr:from>
    <cdr:to>
      <cdr:x>0.49101</cdr:x>
      <cdr:y>0.99523</cdr:y>
    </cdr:to>
    <cdr:sp macro="" textlink="">
      <cdr:nvSpPr>
        <cdr:cNvPr id="4" name="1 CuadroTexto"/>
        <cdr:cNvSpPr txBox="1"/>
      </cdr:nvSpPr>
      <cdr:spPr>
        <a:xfrm xmlns:a="http://schemas.openxmlformats.org/drawingml/2006/main">
          <a:off x="231775" y="3022600"/>
          <a:ext cx="2714625" cy="27154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0"/>
            <a:t> LAPOP, 2012.</a:t>
          </a:r>
          <a:endParaRPr lang="es-CL" sz="1100" b="1"/>
        </a:p>
      </cdr:txBody>
    </cdr:sp>
  </cdr:relSizeAnchor>
</c:userShapes>
</file>

<file path=xl/drawings/drawing68.xml><?xml version="1.0" encoding="utf-8"?>
<c:userShapes xmlns:c="http://schemas.openxmlformats.org/drawingml/2006/chart">
  <cdr:relSizeAnchor xmlns:cdr="http://schemas.openxmlformats.org/drawingml/2006/chartDrawing">
    <cdr:from>
      <cdr:x>0</cdr:x>
      <cdr:y>0.01562</cdr:y>
    </cdr:from>
    <cdr:to>
      <cdr:x>1</cdr:x>
      <cdr:y>0.15532</cdr:y>
    </cdr:to>
    <cdr:sp macro="" textlink="">
      <cdr:nvSpPr>
        <cdr:cNvPr id="2" name="1 CuadroTexto"/>
        <cdr:cNvSpPr txBox="1"/>
      </cdr:nvSpPr>
      <cdr:spPr>
        <a:xfrm xmlns:a="http://schemas.openxmlformats.org/drawingml/2006/main">
          <a:off x="50800" y="50800"/>
          <a:ext cx="5755140" cy="45442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57</a:t>
          </a:r>
        </a:p>
        <a:p xmlns:a="http://schemas.openxmlformats.org/drawingml/2006/main">
          <a:r>
            <a:rPr lang="es-CL" sz="1100" b="0" i="0" baseline="0">
              <a:effectLst/>
              <a:latin typeface="+mn-lt"/>
              <a:ea typeface="+mn-ea"/>
              <a:cs typeface="+mn-cs"/>
            </a:rPr>
            <a:t>Decisión sobre la Reforma Constitucional según  Participación Electoral Pasada</a:t>
          </a:r>
          <a:endParaRPr lang="es-CL">
            <a:effectLst/>
          </a:endParaRPr>
        </a:p>
      </cdr:txBody>
    </cdr:sp>
  </cdr:relSizeAnchor>
  <cdr:relSizeAnchor xmlns:cdr="http://schemas.openxmlformats.org/drawingml/2006/chartDrawing">
    <cdr:from>
      <cdr:x>0.00778</cdr:x>
      <cdr:y>0.2001</cdr:y>
    </cdr:from>
    <cdr:to>
      <cdr:x>0.06524</cdr:x>
      <cdr:y>0.70961</cdr:y>
    </cdr:to>
    <cdr:sp macro="" textlink="">
      <cdr:nvSpPr>
        <cdr:cNvPr id="3" name="1 CuadroTexto"/>
        <cdr:cNvSpPr txBox="1"/>
      </cdr:nvSpPr>
      <cdr:spPr>
        <a:xfrm xmlns:a="http://schemas.openxmlformats.org/drawingml/2006/main" rot="16200000">
          <a:off x="-634982" y="1327132"/>
          <a:ext cx="1657352" cy="30483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a:t>
          </a:r>
          <a:r>
            <a:rPr lang="es-CL" sz="1100" baseline="0"/>
            <a:t> de Menciones</a:t>
          </a:r>
          <a:endParaRPr lang="es-CL" sz="1100"/>
        </a:p>
      </cdr:txBody>
    </cdr:sp>
  </cdr:relSizeAnchor>
  <cdr:relSizeAnchor xmlns:cdr="http://schemas.openxmlformats.org/drawingml/2006/chartDrawing">
    <cdr:from>
      <cdr:x>0</cdr:x>
      <cdr:y>0.91652</cdr:y>
    </cdr:from>
    <cdr:to>
      <cdr:x>0.51168</cdr:x>
      <cdr:y>1</cdr:y>
    </cdr:to>
    <cdr:sp macro="" textlink="">
      <cdr:nvSpPr>
        <cdr:cNvPr id="4" name="1 CuadroTexto"/>
        <cdr:cNvSpPr txBox="1"/>
      </cdr:nvSpPr>
      <cdr:spPr>
        <a:xfrm xmlns:a="http://schemas.openxmlformats.org/drawingml/2006/main">
          <a:off x="0" y="2981240"/>
          <a:ext cx="2714680" cy="27154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0"/>
            <a:t> LAPOP, 2012.</a:t>
          </a:r>
          <a:endParaRPr lang="es-CL" sz="1100" b="1"/>
        </a:p>
      </cdr:txBody>
    </cdr:sp>
  </cdr:relSizeAnchor>
</c:userShapes>
</file>

<file path=xl/drawings/drawing69.xml><?xml version="1.0" encoding="utf-8"?>
<c:userShapes xmlns:c="http://schemas.openxmlformats.org/drawingml/2006/chart">
  <cdr:relSizeAnchor xmlns:cdr="http://schemas.openxmlformats.org/drawingml/2006/chartDrawing">
    <cdr:from>
      <cdr:x>0</cdr:x>
      <cdr:y>0.91477</cdr:y>
    </cdr:from>
    <cdr:to>
      <cdr:x>0.479</cdr:x>
      <cdr:y>1</cdr:y>
    </cdr:to>
    <cdr:sp macro="" textlink="">
      <cdr:nvSpPr>
        <cdr:cNvPr id="2" name="1 CuadroTexto"/>
        <cdr:cNvSpPr txBox="1"/>
      </cdr:nvSpPr>
      <cdr:spPr>
        <a:xfrm xmlns:a="http://schemas.openxmlformats.org/drawingml/2006/main">
          <a:off x="0" y="2914565"/>
          <a:ext cx="2714680" cy="27154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0"/>
            <a:t> LAPOP, 2012.</a:t>
          </a:r>
          <a:endParaRPr lang="es-CL" sz="1100" b="1"/>
        </a:p>
      </cdr:txBody>
    </cdr:sp>
  </cdr:relSizeAnchor>
  <cdr:relSizeAnchor xmlns:cdr="http://schemas.openxmlformats.org/drawingml/2006/chartDrawing">
    <cdr:from>
      <cdr:x>0</cdr:x>
      <cdr:y>0.17439</cdr:y>
    </cdr:from>
    <cdr:to>
      <cdr:x>0.05379</cdr:x>
      <cdr:y>0.69457</cdr:y>
    </cdr:to>
    <cdr:sp macro="" textlink="">
      <cdr:nvSpPr>
        <cdr:cNvPr id="3" name="1 CuadroTexto"/>
        <cdr:cNvSpPr txBox="1"/>
      </cdr:nvSpPr>
      <cdr:spPr>
        <a:xfrm xmlns:a="http://schemas.openxmlformats.org/drawingml/2006/main" rot="16200000">
          <a:off x="-676257" y="1231882"/>
          <a:ext cx="1657352" cy="30483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a:t>
          </a:r>
          <a:r>
            <a:rPr lang="es-CL" sz="1100" baseline="0"/>
            <a:t> de Menciones</a:t>
          </a:r>
          <a:endParaRPr lang="es-CL" sz="1100"/>
        </a:p>
      </cdr:txBody>
    </cdr:sp>
  </cdr:relSizeAnchor>
  <cdr:relSizeAnchor xmlns:cdr="http://schemas.openxmlformats.org/drawingml/2006/chartDrawing">
    <cdr:from>
      <cdr:x>0.00896</cdr:x>
      <cdr:y>0.01594</cdr:y>
    </cdr:from>
    <cdr:to>
      <cdr:x>0.9451</cdr:x>
      <cdr:y>0.15857</cdr:y>
    </cdr:to>
    <cdr:sp macro="" textlink="">
      <cdr:nvSpPr>
        <cdr:cNvPr id="4" name="1 CuadroTexto"/>
        <cdr:cNvSpPr txBox="1"/>
      </cdr:nvSpPr>
      <cdr:spPr>
        <a:xfrm xmlns:a="http://schemas.openxmlformats.org/drawingml/2006/main">
          <a:off x="50800" y="50800"/>
          <a:ext cx="5305425" cy="45442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58</a:t>
          </a:r>
        </a:p>
        <a:p xmlns:a="http://schemas.openxmlformats.org/drawingml/2006/main">
          <a:r>
            <a:rPr lang="es-CL" sz="1100" b="0" i="0" baseline="0">
              <a:effectLst/>
              <a:latin typeface="+mn-lt"/>
              <a:ea typeface="+mn-ea"/>
              <a:cs typeface="+mn-cs"/>
            </a:rPr>
            <a:t>Decisión sobre la Reforma Constitucional según  Intención de Participación Electoral </a:t>
          </a:r>
          <a:endParaRPr lang="es-CL">
            <a:effectLst/>
          </a:endParaRPr>
        </a:p>
      </cdr:txBody>
    </cdr:sp>
  </cdr:relSizeAnchor>
</c:userShapes>
</file>

<file path=xl/drawings/drawing70.xml><?xml version="1.0" encoding="utf-8"?>
<c:userShapes xmlns:c="http://schemas.openxmlformats.org/drawingml/2006/chart">
  <cdr:relSizeAnchor xmlns:cdr="http://schemas.openxmlformats.org/drawingml/2006/chartDrawing">
    <cdr:from>
      <cdr:x>0.00698</cdr:x>
      <cdr:y>0.20483</cdr:y>
    </cdr:from>
    <cdr:to>
      <cdr:x>0.04887</cdr:x>
      <cdr:y>0.71886</cdr:y>
    </cdr:to>
    <cdr:sp macro="" textlink="">
      <cdr:nvSpPr>
        <cdr:cNvPr id="2" name="1 CuadroTexto"/>
        <cdr:cNvSpPr txBox="1"/>
      </cdr:nvSpPr>
      <cdr:spPr>
        <a:xfrm xmlns:a="http://schemas.openxmlformats.org/drawingml/2006/main" rot="16200000">
          <a:off x="-625457" y="1336657"/>
          <a:ext cx="1657352" cy="30483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a:t>
          </a:r>
          <a:r>
            <a:rPr lang="es-CL" sz="1100" baseline="0"/>
            <a:t> de Menciones</a:t>
          </a:r>
          <a:endParaRPr lang="es-CL" sz="1100"/>
        </a:p>
      </cdr:txBody>
    </cdr:sp>
  </cdr:relSizeAnchor>
  <cdr:relSizeAnchor xmlns:cdr="http://schemas.openxmlformats.org/drawingml/2006/chartDrawing">
    <cdr:from>
      <cdr:x>0.00698</cdr:x>
      <cdr:y>0.01576</cdr:y>
    </cdr:from>
    <cdr:to>
      <cdr:x>0.73604</cdr:x>
      <cdr:y>0.1567</cdr:y>
    </cdr:to>
    <cdr:sp macro="" textlink="">
      <cdr:nvSpPr>
        <cdr:cNvPr id="3" name="1 CuadroTexto"/>
        <cdr:cNvSpPr txBox="1"/>
      </cdr:nvSpPr>
      <cdr:spPr>
        <a:xfrm xmlns:a="http://schemas.openxmlformats.org/drawingml/2006/main">
          <a:off x="50800" y="50800"/>
          <a:ext cx="5305425" cy="45442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59</a:t>
          </a:r>
        </a:p>
        <a:p xmlns:a="http://schemas.openxmlformats.org/drawingml/2006/main">
          <a:r>
            <a:rPr lang="es-CL" sz="1100" b="0" i="0" baseline="0">
              <a:effectLst/>
              <a:latin typeface="+mn-lt"/>
              <a:ea typeface="+mn-ea"/>
              <a:cs typeface="+mn-cs"/>
            </a:rPr>
            <a:t>Decisión sobre la Reforma Constitucional según  Proyección de Participación Electoral </a:t>
          </a:r>
          <a:endParaRPr lang="es-CL">
            <a:effectLst/>
          </a:endParaRPr>
        </a:p>
      </cdr:txBody>
    </cdr:sp>
  </cdr:relSizeAnchor>
  <cdr:relSizeAnchor xmlns:cdr="http://schemas.openxmlformats.org/drawingml/2006/chartDrawing">
    <cdr:from>
      <cdr:x>0</cdr:x>
      <cdr:y>0.91578</cdr:y>
    </cdr:from>
    <cdr:to>
      <cdr:x>0.37304</cdr:x>
      <cdr:y>1</cdr:y>
    </cdr:to>
    <cdr:sp macro="" textlink="">
      <cdr:nvSpPr>
        <cdr:cNvPr id="4" name="1 CuadroTexto"/>
        <cdr:cNvSpPr txBox="1"/>
      </cdr:nvSpPr>
      <cdr:spPr>
        <a:xfrm xmlns:a="http://schemas.openxmlformats.org/drawingml/2006/main">
          <a:off x="0" y="3223072"/>
          <a:ext cx="2714680" cy="29641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0"/>
            <a:t> LAPOP, 2012.</a:t>
          </a:r>
          <a:endParaRPr lang="es-CL" sz="1100" b="1"/>
        </a:p>
      </cdr:txBody>
    </cdr:sp>
  </cdr:relSizeAnchor>
</c:userShapes>
</file>

<file path=xl/drawings/drawing71.xml><?xml version="1.0" encoding="utf-8"?>
<c:userShapes xmlns:c="http://schemas.openxmlformats.org/drawingml/2006/chart">
  <cdr:relSizeAnchor xmlns:cdr="http://schemas.openxmlformats.org/drawingml/2006/chartDrawing">
    <cdr:from>
      <cdr:x>0.00867</cdr:x>
      <cdr:y>0.01557</cdr:y>
    </cdr:from>
    <cdr:to>
      <cdr:x>0.83759</cdr:x>
      <cdr:y>0.14858</cdr:y>
    </cdr:to>
    <cdr:sp macro="" textlink="">
      <cdr:nvSpPr>
        <cdr:cNvPr id="2" name="1 CuadroTexto"/>
        <cdr:cNvSpPr txBox="1"/>
      </cdr:nvSpPr>
      <cdr:spPr>
        <a:xfrm xmlns:a="http://schemas.openxmlformats.org/drawingml/2006/main">
          <a:off x="50800" y="50800"/>
          <a:ext cx="4855690" cy="43392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51</a:t>
          </a:r>
        </a:p>
        <a:p xmlns:a="http://schemas.openxmlformats.org/drawingml/2006/main">
          <a:r>
            <a:rPr lang="es-CL" sz="1100" b="0" i="0" u="none" strike="noStrike" baseline="0" smtClean="0">
              <a:latin typeface="+mn-lt"/>
              <a:ea typeface="+mn-ea"/>
              <a:cs typeface="+mn-cs"/>
            </a:rPr>
            <a:t>Decisión sobre la Reforma Constitucional según Confianza en las Instituciones</a:t>
          </a:r>
          <a:endParaRPr lang="es-CL" sz="1100" b="1"/>
        </a:p>
      </cdr:txBody>
    </cdr:sp>
  </cdr:relSizeAnchor>
  <cdr:relSizeAnchor xmlns:cdr="http://schemas.openxmlformats.org/drawingml/2006/chartDrawing">
    <cdr:from>
      <cdr:x>0.0103</cdr:x>
      <cdr:y>0.22287</cdr:y>
    </cdr:from>
    <cdr:to>
      <cdr:x>0.0506</cdr:x>
      <cdr:y>0.77092</cdr:y>
    </cdr:to>
    <cdr:sp macro="" textlink="">
      <cdr:nvSpPr>
        <cdr:cNvPr id="3" name="1 CuadroTexto"/>
        <cdr:cNvSpPr txBox="1"/>
      </cdr:nvSpPr>
      <cdr:spPr>
        <a:xfrm xmlns:a="http://schemas.openxmlformats.org/drawingml/2006/main" rot="16200000">
          <a:off x="-715584" y="1502984"/>
          <a:ext cx="1787893" cy="23607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0.03957</cdr:x>
      <cdr:y>0.94193</cdr:y>
    </cdr:from>
    <cdr:to>
      <cdr:x>0.82912</cdr:x>
      <cdr:y>1</cdr:y>
    </cdr:to>
    <cdr:sp macro="" textlink="">
      <cdr:nvSpPr>
        <cdr:cNvPr id="4" name="1 CuadroTexto"/>
        <cdr:cNvSpPr txBox="1"/>
      </cdr:nvSpPr>
      <cdr:spPr>
        <a:xfrm xmlns:a="http://schemas.openxmlformats.org/drawingml/2006/main">
          <a:off x="231775" y="3211926"/>
          <a:ext cx="4625098" cy="19802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1" baseline="0"/>
            <a:t> </a:t>
          </a:r>
          <a:r>
            <a:rPr lang="es-CL" sz="1100" b="0" baseline="0"/>
            <a:t>LAPOP Chile, 2012.</a:t>
          </a:r>
          <a:endParaRPr lang="es-CL" sz="1100" b="1"/>
        </a:p>
      </cdr:txBody>
    </cdr:sp>
  </cdr:relSizeAnchor>
</c:userShapes>
</file>

<file path=xl/drawings/drawing72.xml><?xml version="1.0" encoding="utf-8"?>
<c:userShapes xmlns:c="http://schemas.openxmlformats.org/drawingml/2006/chart">
  <cdr:relSizeAnchor xmlns:cdr="http://schemas.openxmlformats.org/drawingml/2006/chartDrawing">
    <cdr:from>
      <cdr:x>0.02921</cdr:x>
      <cdr:y>0.92372</cdr:y>
    </cdr:from>
    <cdr:to>
      <cdr:x>0.53539</cdr:x>
      <cdr:y>1</cdr:y>
    </cdr:to>
    <cdr:sp macro="" textlink="">
      <cdr:nvSpPr>
        <cdr:cNvPr id="2" name="1 CuadroTexto"/>
        <cdr:cNvSpPr txBox="1"/>
      </cdr:nvSpPr>
      <cdr:spPr>
        <a:xfrm xmlns:a="http://schemas.openxmlformats.org/drawingml/2006/main">
          <a:off x="231775" y="2687911"/>
          <a:ext cx="4016166" cy="22197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a:t>
          </a:r>
          <a:r>
            <a:rPr lang="es-CL" sz="1100" b="1" baseline="0"/>
            <a:t> </a:t>
          </a:r>
          <a:r>
            <a:rPr lang="es-CL" sz="1100" b="0" baseline="0"/>
            <a:t>LAPOP Chile, 2012.</a:t>
          </a:r>
          <a:endParaRPr lang="es-CL" sz="1100" b="1"/>
        </a:p>
      </cdr:txBody>
    </cdr:sp>
  </cdr:relSizeAnchor>
  <cdr:relSizeAnchor xmlns:cdr="http://schemas.openxmlformats.org/drawingml/2006/chartDrawing">
    <cdr:from>
      <cdr:x>0.02201</cdr:x>
      <cdr:y>0.09929</cdr:y>
    </cdr:from>
    <cdr:to>
      <cdr:x>0.05625</cdr:x>
      <cdr:y>0.67664</cdr:y>
    </cdr:to>
    <cdr:sp macro="" textlink="">
      <cdr:nvSpPr>
        <cdr:cNvPr id="3" name="1 CuadroTexto"/>
        <cdr:cNvSpPr txBox="1"/>
      </cdr:nvSpPr>
      <cdr:spPr>
        <a:xfrm xmlns:a="http://schemas.openxmlformats.org/drawingml/2006/main" rot="16200000">
          <a:off x="-529549" y="993099"/>
          <a:ext cx="1680036" cy="27168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0.02681</cdr:x>
      <cdr:y>0.01804</cdr:y>
    </cdr:from>
    <cdr:to>
      <cdr:x>0.57813</cdr:x>
      <cdr:y>0.16353</cdr:y>
    </cdr:to>
    <cdr:sp macro="" textlink="">
      <cdr:nvSpPr>
        <cdr:cNvPr id="4" name="1 CuadroTexto"/>
        <cdr:cNvSpPr txBox="1"/>
      </cdr:nvSpPr>
      <cdr:spPr>
        <a:xfrm xmlns:a="http://schemas.openxmlformats.org/drawingml/2006/main">
          <a:off x="212725" y="60325"/>
          <a:ext cx="4374319" cy="4864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47</a:t>
          </a:r>
        </a:p>
        <a:p xmlns:a="http://schemas.openxmlformats.org/drawingml/2006/main">
          <a:r>
            <a:rPr lang="es-CL" sz="1100" b="0" i="0" baseline="0">
              <a:effectLst/>
              <a:latin typeface="+mn-lt"/>
              <a:ea typeface="+mn-ea"/>
              <a:cs typeface="+mn-cs"/>
            </a:rPr>
            <a:t>Decisión sobre la Reforma Constitucional según  Apoyo a la Democracia</a:t>
          </a:r>
          <a:endParaRPr lang="es-CL">
            <a:effectLst/>
          </a:endParaRPr>
        </a:p>
      </cdr:txBody>
    </cdr:sp>
  </cdr:relSizeAnchor>
</c:userShapes>
</file>

<file path=xl/drawings/drawing73.xml><?xml version="1.0" encoding="utf-8"?>
<xdr:wsDr xmlns:xdr="http://schemas.openxmlformats.org/drawingml/2006/spreadsheetDrawing" xmlns:a="http://schemas.openxmlformats.org/drawingml/2006/main">
  <xdr:twoCellAnchor>
    <xdr:from>
      <xdr:col>0</xdr:col>
      <xdr:colOff>0</xdr:colOff>
      <xdr:row>6</xdr:row>
      <xdr:rowOff>0</xdr:rowOff>
    </xdr:from>
    <xdr:to>
      <xdr:col>6</xdr:col>
      <xdr:colOff>733425</xdr:colOff>
      <xdr:row>23</xdr:row>
      <xdr:rowOff>157163</xdr:rowOff>
    </xdr:to>
    <xdr:graphicFrame macro="">
      <xdr:nvGraphicFramePr>
        <xdr:cNvPr id="2" name="1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6</xdr:row>
      <xdr:rowOff>0</xdr:rowOff>
    </xdr:from>
    <xdr:to>
      <xdr:col>13</xdr:col>
      <xdr:colOff>733425</xdr:colOff>
      <xdr:row>23</xdr:row>
      <xdr:rowOff>109538</xdr:rowOff>
    </xdr:to>
    <xdr:graphicFrame macro="">
      <xdr:nvGraphicFramePr>
        <xdr:cNvPr id="3" name="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6</xdr:row>
      <xdr:rowOff>0</xdr:rowOff>
    </xdr:from>
    <xdr:to>
      <xdr:col>19</xdr:col>
      <xdr:colOff>1323975</xdr:colOff>
      <xdr:row>23</xdr:row>
      <xdr:rowOff>138113</xdr:rowOff>
    </xdr:to>
    <xdr:graphicFrame macro="">
      <xdr:nvGraphicFramePr>
        <xdr:cNvPr id="4" name="3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0</xdr:colOff>
      <xdr:row>6</xdr:row>
      <xdr:rowOff>0</xdr:rowOff>
    </xdr:from>
    <xdr:to>
      <xdr:col>26</xdr:col>
      <xdr:colOff>9525</xdr:colOff>
      <xdr:row>23</xdr:row>
      <xdr:rowOff>157164</xdr:rowOff>
    </xdr:to>
    <xdr:graphicFrame macro="">
      <xdr:nvGraphicFramePr>
        <xdr:cNvPr id="5" name="4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0</xdr:colOff>
      <xdr:row>6</xdr:row>
      <xdr:rowOff>0</xdr:rowOff>
    </xdr:from>
    <xdr:to>
      <xdr:col>32</xdr:col>
      <xdr:colOff>0</xdr:colOff>
      <xdr:row>23</xdr:row>
      <xdr:rowOff>176213</xdr:rowOff>
    </xdr:to>
    <xdr:graphicFrame macro="">
      <xdr:nvGraphicFramePr>
        <xdr:cNvPr id="6" name="5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0</xdr:colOff>
      <xdr:row>6</xdr:row>
      <xdr:rowOff>0</xdr:rowOff>
    </xdr:from>
    <xdr:to>
      <xdr:col>38</xdr:col>
      <xdr:colOff>742950</xdr:colOff>
      <xdr:row>24</xdr:row>
      <xdr:rowOff>28575</xdr:rowOff>
    </xdr:to>
    <xdr:graphicFrame macro="">
      <xdr:nvGraphicFramePr>
        <xdr:cNvPr id="8" name="7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40</xdr:col>
      <xdr:colOff>0</xdr:colOff>
      <xdr:row>6</xdr:row>
      <xdr:rowOff>0</xdr:rowOff>
    </xdr:from>
    <xdr:to>
      <xdr:col>45</xdr:col>
      <xdr:colOff>742951</xdr:colOff>
      <xdr:row>24</xdr:row>
      <xdr:rowOff>28575</xdr:rowOff>
    </xdr:to>
    <xdr:graphicFrame macro="">
      <xdr:nvGraphicFramePr>
        <xdr:cNvPr id="9" name="8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46</xdr:col>
      <xdr:colOff>733425</xdr:colOff>
      <xdr:row>6</xdr:row>
      <xdr:rowOff>4762</xdr:rowOff>
    </xdr:from>
    <xdr:to>
      <xdr:col>53</xdr:col>
      <xdr:colOff>742950</xdr:colOff>
      <xdr:row>24</xdr:row>
      <xdr:rowOff>0</xdr:rowOff>
    </xdr:to>
    <xdr:graphicFrame macro="">
      <xdr:nvGraphicFramePr>
        <xdr:cNvPr id="10" name="9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54</xdr:col>
      <xdr:colOff>704849</xdr:colOff>
      <xdr:row>6</xdr:row>
      <xdr:rowOff>14287</xdr:rowOff>
    </xdr:from>
    <xdr:to>
      <xdr:col>62</xdr:col>
      <xdr:colOff>619124</xdr:colOff>
      <xdr:row>23</xdr:row>
      <xdr:rowOff>85725</xdr:rowOff>
    </xdr:to>
    <xdr:graphicFrame macro="">
      <xdr:nvGraphicFramePr>
        <xdr:cNvPr id="11" name="10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4.xml><?xml version="1.0" encoding="utf-8"?>
<c:userShapes xmlns:c="http://schemas.openxmlformats.org/drawingml/2006/chart">
  <cdr:relSizeAnchor xmlns:cdr="http://schemas.openxmlformats.org/drawingml/2006/chartDrawing">
    <cdr:from>
      <cdr:x>0.00625</cdr:x>
      <cdr:y>0.00421</cdr:y>
    </cdr:from>
    <cdr:to>
      <cdr:x>1</cdr:x>
      <cdr:y>0.17251</cdr:y>
    </cdr:to>
    <cdr:sp macro="" textlink="">
      <cdr:nvSpPr>
        <cdr:cNvPr id="2" name="1 CuadroTexto"/>
        <cdr:cNvSpPr txBox="1"/>
      </cdr:nvSpPr>
      <cdr:spPr>
        <a:xfrm xmlns:a="http://schemas.openxmlformats.org/drawingml/2006/main">
          <a:off x="28574" y="14289"/>
          <a:ext cx="4543426" cy="571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GRÁFICO 60</a:t>
          </a:r>
        </a:p>
        <a:p xmlns:a="http://schemas.openxmlformats.org/drawingml/2006/main">
          <a:r>
            <a:rPr lang="es-ES" sz="1100">
              <a:effectLst/>
              <a:latin typeface="+mn-lt"/>
              <a:ea typeface="+mn-ea"/>
              <a:cs typeface="+mn-cs"/>
            </a:rPr>
            <a:t>Está Ud. de acuerdo o en desacuerdo con la propuesta de Asamblea</a:t>
          </a:r>
          <a:r>
            <a:rPr lang="es-ES" sz="1100" baseline="0">
              <a:effectLst/>
              <a:latin typeface="+mn-lt"/>
              <a:ea typeface="+mn-ea"/>
              <a:cs typeface="+mn-cs"/>
            </a:rPr>
            <a:t> Constituyente</a:t>
          </a:r>
          <a:endParaRPr lang="es-CL" sz="1100" b="0"/>
        </a:p>
      </cdr:txBody>
    </cdr:sp>
  </cdr:relSizeAnchor>
  <cdr:relSizeAnchor xmlns:cdr="http://schemas.openxmlformats.org/drawingml/2006/chartDrawing">
    <cdr:from>
      <cdr:x>0.0045</cdr:x>
      <cdr:y>0.20617</cdr:y>
    </cdr:from>
    <cdr:to>
      <cdr:x>0.06216</cdr:x>
      <cdr:y>0.71809</cdr:y>
    </cdr:to>
    <cdr:sp macro="" textlink="">
      <cdr:nvSpPr>
        <cdr:cNvPr id="3" name="2 CuadroTexto"/>
        <cdr:cNvSpPr txBox="1"/>
      </cdr:nvSpPr>
      <cdr:spPr>
        <a:xfrm xmlns:a="http://schemas.openxmlformats.org/drawingml/2006/main" rot="16200000">
          <a:off x="-692943" y="1416845"/>
          <a:ext cx="1738312"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a:t>Porcentaje de Menciones</a:t>
          </a:r>
        </a:p>
      </cdr:txBody>
    </cdr:sp>
  </cdr:relSizeAnchor>
  <cdr:relSizeAnchor xmlns:cdr="http://schemas.openxmlformats.org/drawingml/2006/chartDrawing">
    <cdr:from>
      <cdr:x>0.00901</cdr:x>
      <cdr:y>0.91024</cdr:y>
    </cdr:from>
    <cdr:to>
      <cdr:x>0.66667</cdr:x>
      <cdr:y>1</cdr:y>
    </cdr:to>
    <cdr:sp macro="" textlink="">
      <cdr:nvSpPr>
        <cdr:cNvPr id="4" name="3 CuadroTexto"/>
        <cdr:cNvSpPr txBox="1"/>
      </cdr:nvSpPr>
      <cdr:spPr>
        <a:xfrm xmlns:a="http://schemas.openxmlformats.org/drawingml/2006/main">
          <a:off x="47625" y="3090863"/>
          <a:ext cx="3476625"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CL" sz="1100" b="1"/>
            <a:t>Fuente: </a:t>
          </a:r>
          <a:r>
            <a:rPr lang="es-CL" sz="1100" b="0"/>
            <a:t>Encuesta</a:t>
          </a:r>
          <a:r>
            <a:rPr lang="es-CL" sz="1100" b="0" baseline="0"/>
            <a:t> CEP, Septiembre-Octubre 2013.</a:t>
          </a:r>
          <a:endParaRPr lang="es-CL" sz="1100" b="1"/>
        </a:p>
      </cdr:txBody>
    </cdr:sp>
  </cdr:relSizeAnchor>
</c:userShapes>
</file>

<file path=xl/drawings/drawing75.xml><?xml version="1.0" encoding="utf-8"?>
<c:userShapes xmlns:c="http://schemas.openxmlformats.org/drawingml/2006/chart">
  <cdr:relSizeAnchor xmlns:cdr="http://schemas.openxmlformats.org/drawingml/2006/chartDrawing">
    <cdr:from>
      <cdr:x>0</cdr:x>
      <cdr:y>0.01517</cdr:y>
    </cdr:from>
    <cdr:to>
      <cdr:x>1</cdr:x>
      <cdr:y>0.18587</cdr:y>
    </cdr:to>
    <cdr:sp macro="" textlink="">
      <cdr:nvSpPr>
        <cdr:cNvPr id="2" name="1 CuadroTexto"/>
        <cdr:cNvSpPr txBox="1"/>
      </cdr:nvSpPr>
      <cdr:spPr>
        <a:xfrm xmlns:a="http://schemas.openxmlformats.org/drawingml/2006/main">
          <a:off x="50800" y="50800"/>
          <a:ext cx="5253336" cy="571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61</a:t>
          </a:r>
        </a:p>
        <a:p xmlns:a="http://schemas.openxmlformats.org/drawingml/2006/main">
          <a:r>
            <a:rPr lang="es-ES" sz="1100">
              <a:effectLst/>
              <a:latin typeface="+mn-lt"/>
              <a:ea typeface="+mn-ea"/>
              <a:cs typeface="+mn-cs"/>
            </a:rPr>
            <a:t>Apoyo</a:t>
          </a:r>
          <a:r>
            <a:rPr lang="es-ES" sz="1100" baseline="0">
              <a:effectLst/>
              <a:latin typeface="+mn-lt"/>
              <a:ea typeface="+mn-ea"/>
              <a:cs typeface="+mn-cs"/>
            </a:rPr>
            <a:t> a </a:t>
          </a:r>
          <a:r>
            <a:rPr lang="es-ES" sz="1100">
              <a:effectLst/>
              <a:latin typeface="+mn-lt"/>
              <a:ea typeface="+mn-ea"/>
              <a:cs typeface="+mn-cs"/>
            </a:rPr>
            <a:t>Asamblea</a:t>
          </a:r>
          <a:r>
            <a:rPr lang="es-ES" sz="1100" baseline="0">
              <a:effectLst/>
              <a:latin typeface="+mn-lt"/>
              <a:ea typeface="+mn-ea"/>
              <a:cs typeface="+mn-cs"/>
            </a:rPr>
            <a:t> Constituyente según Sexo</a:t>
          </a:r>
          <a:endParaRPr lang="es-CL" sz="1100" b="0"/>
        </a:p>
      </cdr:txBody>
    </cdr:sp>
  </cdr:relSizeAnchor>
  <cdr:relSizeAnchor xmlns:cdr="http://schemas.openxmlformats.org/drawingml/2006/chartDrawing">
    <cdr:from>
      <cdr:x>0.01319</cdr:x>
      <cdr:y>0.20009</cdr:y>
    </cdr:from>
    <cdr:to>
      <cdr:x>0.07986</cdr:x>
      <cdr:y>0.7193</cdr:y>
    </cdr:to>
    <cdr:sp macro="" textlink="">
      <cdr:nvSpPr>
        <cdr:cNvPr id="3" name="1 CuadroTexto"/>
        <cdr:cNvSpPr txBox="1"/>
      </cdr:nvSpPr>
      <cdr:spPr>
        <a:xfrm xmlns:a="http://schemas.openxmlformats.org/drawingml/2006/main" rot="16200000">
          <a:off x="-656431" y="1386681"/>
          <a:ext cx="1738312" cy="3048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cdr:x>
      <cdr:y>0.90896</cdr:y>
    </cdr:from>
    <cdr:to>
      <cdr:x>0.76042</cdr:x>
      <cdr:y>1</cdr:y>
    </cdr:to>
    <cdr:sp macro="" textlink="">
      <cdr:nvSpPr>
        <cdr:cNvPr id="5" name="1 CuadroTexto"/>
        <cdr:cNvSpPr txBox="1"/>
      </cdr:nvSpPr>
      <cdr:spPr>
        <a:xfrm xmlns:a="http://schemas.openxmlformats.org/drawingml/2006/main">
          <a:off x="0" y="3043238"/>
          <a:ext cx="3476625" cy="3048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Encuesta</a:t>
          </a:r>
          <a:r>
            <a:rPr lang="es-CL" sz="1100" b="0" baseline="0"/>
            <a:t> CEP, Septiembre-Octubre 2013.</a:t>
          </a:r>
          <a:endParaRPr lang="es-CL" sz="1100" b="1"/>
        </a:p>
      </cdr:txBody>
    </cdr:sp>
  </cdr:relSizeAnchor>
</c:userShapes>
</file>

<file path=xl/drawings/drawing76.xml><?xml version="1.0" encoding="utf-8"?>
<c:userShapes xmlns:c="http://schemas.openxmlformats.org/drawingml/2006/chart">
  <cdr:relSizeAnchor xmlns:cdr="http://schemas.openxmlformats.org/drawingml/2006/chartDrawing">
    <cdr:from>
      <cdr:x>3.98986E-17</cdr:x>
      <cdr:y>0.01504</cdr:y>
    </cdr:from>
    <cdr:to>
      <cdr:x>1</cdr:x>
      <cdr:y>0.1843</cdr:y>
    </cdr:to>
    <cdr:sp macro="" textlink="">
      <cdr:nvSpPr>
        <cdr:cNvPr id="2" name="1 CuadroTexto"/>
        <cdr:cNvSpPr txBox="1"/>
      </cdr:nvSpPr>
      <cdr:spPr>
        <a:xfrm xmlns:a="http://schemas.openxmlformats.org/drawingml/2006/main">
          <a:off x="50800" y="50800"/>
          <a:ext cx="4572000" cy="571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62</a:t>
          </a:r>
        </a:p>
        <a:p xmlns:a="http://schemas.openxmlformats.org/drawingml/2006/main">
          <a:r>
            <a:rPr lang="es-ES" sz="1100">
              <a:effectLst/>
              <a:latin typeface="+mn-lt"/>
              <a:ea typeface="+mn-ea"/>
              <a:cs typeface="+mn-cs"/>
            </a:rPr>
            <a:t>Apoyo</a:t>
          </a:r>
          <a:r>
            <a:rPr lang="es-ES" sz="1100" baseline="0">
              <a:effectLst/>
              <a:latin typeface="+mn-lt"/>
              <a:ea typeface="+mn-ea"/>
              <a:cs typeface="+mn-cs"/>
            </a:rPr>
            <a:t> a </a:t>
          </a:r>
          <a:r>
            <a:rPr lang="es-ES" sz="1100">
              <a:effectLst/>
              <a:latin typeface="+mn-lt"/>
              <a:ea typeface="+mn-ea"/>
              <a:cs typeface="+mn-cs"/>
            </a:rPr>
            <a:t>Asamblea</a:t>
          </a:r>
          <a:r>
            <a:rPr lang="es-ES" sz="1100" baseline="0">
              <a:effectLst/>
              <a:latin typeface="+mn-lt"/>
              <a:ea typeface="+mn-ea"/>
              <a:cs typeface="+mn-cs"/>
            </a:rPr>
            <a:t> Constituyente según Tramos de Edad</a:t>
          </a:r>
          <a:endParaRPr lang="es-CL" sz="1100" b="0"/>
        </a:p>
      </cdr:txBody>
    </cdr:sp>
  </cdr:relSizeAnchor>
  <cdr:relSizeAnchor xmlns:cdr="http://schemas.openxmlformats.org/drawingml/2006/chartDrawing">
    <cdr:from>
      <cdr:x>0.01319</cdr:x>
      <cdr:y>0.21251</cdr:y>
    </cdr:from>
    <cdr:to>
      <cdr:x>0.07986</cdr:x>
      <cdr:y>0.72732</cdr:y>
    </cdr:to>
    <cdr:sp macro="" textlink="">
      <cdr:nvSpPr>
        <cdr:cNvPr id="3" name="1 CuadroTexto"/>
        <cdr:cNvSpPr txBox="1"/>
      </cdr:nvSpPr>
      <cdr:spPr>
        <a:xfrm xmlns:a="http://schemas.openxmlformats.org/drawingml/2006/main" rot="16200000">
          <a:off x="-656431" y="1434306"/>
          <a:ext cx="1738312" cy="3048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cdr:x>
      <cdr:y>0.90973</cdr:y>
    </cdr:from>
    <cdr:to>
      <cdr:x>0.76042</cdr:x>
      <cdr:y>1</cdr:y>
    </cdr:to>
    <cdr:sp macro="" textlink="">
      <cdr:nvSpPr>
        <cdr:cNvPr id="4" name="1 CuadroTexto"/>
        <cdr:cNvSpPr txBox="1"/>
      </cdr:nvSpPr>
      <cdr:spPr>
        <a:xfrm xmlns:a="http://schemas.openxmlformats.org/drawingml/2006/main">
          <a:off x="0" y="3071813"/>
          <a:ext cx="3476625" cy="3048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Encuesta</a:t>
          </a:r>
          <a:r>
            <a:rPr lang="es-CL" sz="1100" b="0" baseline="0"/>
            <a:t> CEP, Septiembre-Octubre 2013.</a:t>
          </a:r>
          <a:endParaRPr lang="es-CL" sz="1100" b="1"/>
        </a:p>
      </cdr:txBody>
    </cdr:sp>
  </cdr:relSizeAnchor>
</c:userShapes>
</file>

<file path=xl/drawings/drawing77.xml><?xml version="1.0" encoding="utf-8"?>
<c:userShapes xmlns:c="http://schemas.openxmlformats.org/drawingml/2006/chart">
  <cdr:relSizeAnchor xmlns:cdr="http://schemas.openxmlformats.org/drawingml/2006/chartDrawing">
    <cdr:from>
      <cdr:x>3.98986E-17</cdr:x>
      <cdr:y>0.01496</cdr:y>
    </cdr:from>
    <cdr:to>
      <cdr:x>1</cdr:x>
      <cdr:y>0.18326</cdr:y>
    </cdr:to>
    <cdr:sp macro="" textlink="">
      <cdr:nvSpPr>
        <cdr:cNvPr id="2" name="1 CuadroTexto"/>
        <cdr:cNvSpPr txBox="1"/>
      </cdr:nvSpPr>
      <cdr:spPr>
        <a:xfrm xmlns:a="http://schemas.openxmlformats.org/drawingml/2006/main">
          <a:off x="50800" y="50800"/>
          <a:ext cx="4572000" cy="571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63</a:t>
          </a:r>
        </a:p>
        <a:p xmlns:a="http://schemas.openxmlformats.org/drawingml/2006/main">
          <a:r>
            <a:rPr lang="es-ES" sz="1100">
              <a:effectLst/>
              <a:latin typeface="+mn-lt"/>
              <a:ea typeface="+mn-ea"/>
              <a:cs typeface="+mn-cs"/>
            </a:rPr>
            <a:t>Apoyo</a:t>
          </a:r>
          <a:r>
            <a:rPr lang="es-ES" sz="1100" baseline="0">
              <a:effectLst/>
              <a:latin typeface="+mn-lt"/>
              <a:ea typeface="+mn-ea"/>
              <a:cs typeface="+mn-cs"/>
            </a:rPr>
            <a:t> a </a:t>
          </a:r>
          <a:r>
            <a:rPr lang="es-ES" sz="1100">
              <a:effectLst/>
              <a:latin typeface="+mn-lt"/>
              <a:ea typeface="+mn-ea"/>
              <a:cs typeface="+mn-cs"/>
            </a:rPr>
            <a:t>Asamblea</a:t>
          </a:r>
          <a:r>
            <a:rPr lang="es-ES" sz="1100" baseline="0">
              <a:effectLst/>
              <a:latin typeface="+mn-lt"/>
              <a:ea typeface="+mn-ea"/>
              <a:cs typeface="+mn-cs"/>
            </a:rPr>
            <a:t> Constituyente según Máximo Nivel Educativo Alcanzado</a:t>
          </a:r>
          <a:endParaRPr lang="es-CL" sz="1100" b="0"/>
        </a:p>
      </cdr:txBody>
    </cdr:sp>
  </cdr:relSizeAnchor>
  <cdr:relSizeAnchor xmlns:cdr="http://schemas.openxmlformats.org/drawingml/2006/chartDrawing">
    <cdr:from>
      <cdr:x>0.01111</cdr:x>
      <cdr:y>0.22534</cdr:y>
    </cdr:from>
    <cdr:to>
      <cdr:x>0.07778</cdr:x>
      <cdr:y>0.73726</cdr:y>
    </cdr:to>
    <cdr:sp macro="" textlink="">
      <cdr:nvSpPr>
        <cdr:cNvPr id="3" name="1 CuadroTexto"/>
        <cdr:cNvSpPr txBox="1"/>
      </cdr:nvSpPr>
      <cdr:spPr>
        <a:xfrm xmlns:a="http://schemas.openxmlformats.org/drawingml/2006/main" rot="16200000">
          <a:off x="-665956" y="1481931"/>
          <a:ext cx="1738312" cy="3048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cdr:x>
      <cdr:y>0.91024</cdr:y>
    </cdr:from>
    <cdr:to>
      <cdr:x>0.76042</cdr:x>
      <cdr:y>1</cdr:y>
    </cdr:to>
    <cdr:sp macro="" textlink="">
      <cdr:nvSpPr>
        <cdr:cNvPr id="4" name="1 CuadroTexto"/>
        <cdr:cNvSpPr txBox="1"/>
      </cdr:nvSpPr>
      <cdr:spPr>
        <a:xfrm xmlns:a="http://schemas.openxmlformats.org/drawingml/2006/main">
          <a:off x="0" y="3090864"/>
          <a:ext cx="3476625" cy="3048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Encuesta</a:t>
          </a:r>
          <a:r>
            <a:rPr lang="es-CL" sz="1100" b="0" baseline="0"/>
            <a:t> CEP, Septiembre-Octubre 2013.</a:t>
          </a:r>
          <a:endParaRPr lang="es-CL" sz="1100" b="1"/>
        </a:p>
      </cdr:txBody>
    </cdr:sp>
  </cdr:relSizeAnchor>
</c:userShapes>
</file>

<file path=xl/drawings/drawing78.xml><?xml version="1.0" encoding="utf-8"?>
<c:userShapes xmlns:c="http://schemas.openxmlformats.org/drawingml/2006/chart">
  <cdr:relSizeAnchor xmlns:cdr="http://schemas.openxmlformats.org/drawingml/2006/chartDrawing">
    <cdr:from>
      <cdr:x>3.98986E-17</cdr:x>
      <cdr:y>0.01488</cdr:y>
    </cdr:from>
    <cdr:to>
      <cdr:x>1</cdr:x>
      <cdr:y>0.18224</cdr:y>
    </cdr:to>
    <cdr:sp macro="" textlink="">
      <cdr:nvSpPr>
        <cdr:cNvPr id="2" name="1 CuadroTexto"/>
        <cdr:cNvSpPr txBox="1"/>
      </cdr:nvSpPr>
      <cdr:spPr>
        <a:xfrm xmlns:a="http://schemas.openxmlformats.org/drawingml/2006/main">
          <a:off x="50800" y="50800"/>
          <a:ext cx="4572000" cy="571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64</a:t>
          </a:r>
        </a:p>
        <a:p xmlns:a="http://schemas.openxmlformats.org/drawingml/2006/main">
          <a:r>
            <a:rPr lang="es-ES" sz="1100">
              <a:effectLst/>
              <a:latin typeface="+mn-lt"/>
              <a:ea typeface="+mn-ea"/>
              <a:cs typeface="+mn-cs"/>
            </a:rPr>
            <a:t>Apoyo</a:t>
          </a:r>
          <a:r>
            <a:rPr lang="es-ES" sz="1100" baseline="0">
              <a:effectLst/>
              <a:latin typeface="+mn-lt"/>
              <a:ea typeface="+mn-ea"/>
              <a:cs typeface="+mn-cs"/>
            </a:rPr>
            <a:t> a </a:t>
          </a:r>
          <a:r>
            <a:rPr lang="es-ES" sz="1100">
              <a:effectLst/>
              <a:latin typeface="+mn-lt"/>
              <a:ea typeface="+mn-ea"/>
              <a:cs typeface="+mn-cs"/>
            </a:rPr>
            <a:t>Asamblea</a:t>
          </a:r>
          <a:r>
            <a:rPr lang="es-ES" sz="1100" baseline="0">
              <a:effectLst/>
              <a:latin typeface="+mn-lt"/>
              <a:ea typeface="+mn-ea"/>
              <a:cs typeface="+mn-cs"/>
            </a:rPr>
            <a:t> Constituyente según Pertenencia a Pueblo Originario</a:t>
          </a:r>
          <a:endParaRPr lang="es-CL" sz="1100" b="0"/>
        </a:p>
      </cdr:txBody>
    </cdr:sp>
  </cdr:relSizeAnchor>
  <cdr:relSizeAnchor xmlns:cdr="http://schemas.openxmlformats.org/drawingml/2006/chartDrawing">
    <cdr:from>
      <cdr:x>0.01111</cdr:x>
      <cdr:y>0.21013</cdr:y>
    </cdr:from>
    <cdr:to>
      <cdr:x>0.07778</cdr:x>
      <cdr:y>0.7192</cdr:y>
    </cdr:to>
    <cdr:sp macro="" textlink="">
      <cdr:nvSpPr>
        <cdr:cNvPr id="3" name="1 CuadroTexto"/>
        <cdr:cNvSpPr txBox="1"/>
      </cdr:nvSpPr>
      <cdr:spPr>
        <a:xfrm xmlns:a="http://schemas.openxmlformats.org/drawingml/2006/main" rot="16200000">
          <a:off x="-665956" y="1434306"/>
          <a:ext cx="1738312" cy="3048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cdr:x>
      <cdr:y>0.91074</cdr:y>
    </cdr:from>
    <cdr:to>
      <cdr:x>0.76042</cdr:x>
      <cdr:y>1</cdr:y>
    </cdr:to>
    <cdr:sp macro="" textlink="">
      <cdr:nvSpPr>
        <cdr:cNvPr id="4" name="1 CuadroTexto"/>
        <cdr:cNvSpPr txBox="1"/>
      </cdr:nvSpPr>
      <cdr:spPr>
        <a:xfrm xmlns:a="http://schemas.openxmlformats.org/drawingml/2006/main">
          <a:off x="0" y="3109913"/>
          <a:ext cx="3476625" cy="3048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Encuesta</a:t>
          </a:r>
          <a:r>
            <a:rPr lang="es-CL" sz="1100" b="0" baseline="0"/>
            <a:t> CEP, Septiembre-Octubre 2013.</a:t>
          </a:r>
          <a:endParaRPr lang="es-CL" sz="1100" b="1"/>
        </a:p>
      </cdr:txBody>
    </cdr:sp>
  </cdr:relSizeAnchor>
</c:userShapes>
</file>

<file path=xl/drawings/drawing79.xml><?xml version="1.0" encoding="utf-8"?>
<c:userShapes xmlns:c="http://schemas.openxmlformats.org/drawingml/2006/chart">
  <cdr:relSizeAnchor xmlns:cdr="http://schemas.openxmlformats.org/drawingml/2006/chartDrawing">
    <cdr:from>
      <cdr:x>3.98986E-17</cdr:x>
      <cdr:y>0.01469</cdr:y>
    </cdr:from>
    <cdr:to>
      <cdr:x>1</cdr:x>
      <cdr:y>0.17998</cdr:y>
    </cdr:to>
    <cdr:sp macro="" textlink="">
      <cdr:nvSpPr>
        <cdr:cNvPr id="2" name="1 CuadroTexto"/>
        <cdr:cNvSpPr txBox="1"/>
      </cdr:nvSpPr>
      <cdr:spPr>
        <a:xfrm xmlns:a="http://schemas.openxmlformats.org/drawingml/2006/main">
          <a:off x="50800" y="50800"/>
          <a:ext cx="4572000" cy="571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65</a:t>
          </a:r>
        </a:p>
        <a:p xmlns:a="http://schemas.openxmlformats.org/drawingml/2006/main">
          <a:r>
            <a:rPr lang="es-ES" sz="1100">
              <a:effectLst/>
              <a:latin typeface="+mn-lt"/>
              <a:ea typeface="+mn-ea"/>
              <a:cs typeface="+mn-cs"/>
            </a:rPr>
            <a:t>Apoyo</a:t>
          </a:r>
          <a:r>
            <a:rPr lang="es-ES" sz="1100" baseline="0">
              <a:effectLst/>
              <a:latin typeface="+mn-lt"/>
              <a:ea typeface="+mn-ea"/>
              <a:cs typeface="+mn-cs"/>
            </a:rPr>
            <a:t> a </a:t>
          </a:r>
          <a:r>
            <a:rPr lang="es-ES" sz="1100">
              <a:effectLst/>
              <a:latin typeface="+mn-lt"/>
              <a:ea typeface="+mn-ea"/>
              <a:cs typeface="+mn-cs"/>
            </a:rPr>
            <a:t>Asamblea</a:t>
          </a:r>
          <a:r>
            <a:rPr lang="es-ES" sz="1100" baseline="0">
              <a:effectLst/>
              <a:latin typeface="+mn-lt"/>
              <a:ea typeface="+mn-ea"/>
              <a:cs typeface="+mn-cs"/>
            </a:rPr>
            <a:t> Constituyente según Posición Política</a:t>
          </a:r>
          <a:endParaRPr lang="es-CL" sz="1100" b="0"/>
        </a:p>
      </cdr:txBody>
    </cdr:sp>
  </cdr:relSizeAnchor>
  <cdr:relSizeAnchor xmlns:cdr="http://schemas.openxmlformats.org/drawingml/2006/chartDrawing">
    <cdr:from>
      <cdr:x>0.01111</cdr:x>
      <cdr:y>0.22957</cdr:y>
    </cdr:from>
    <cdr:to>
      <cdr:x>0.07778</cdr:x>
      <cdr:y>0.73232</cdr:y>
    </cdr:to>
    <cdr:sp macro="" textlink="">
      <cdr:nvSpPr>
        <cdr:cNvPr id="3" name="1 CuadroTexto"/>
        <cdr:cNvSpPr txBox="1"/>
      </cdr:nvSpPr>
      <cdr:spPr>
        <a:xfrm xmlns:a="http://schemas.openxmlformats.org/drawingml/2006/main" rot="16200000">
          <a:off x="-665956" y="1510506"/>
          <a:ext cx="1738312" cy="3048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cdr:x>
      <cdr:y>0.91185</cdr:y>
    </cdr:from>
    <cdr:to>
      <cdr:x>0.76042</cdr:x>
      <cdr:y>1</cdr:y>
    </cdr:to>
    <cdr:sp macro="" textlink="">
      <cdr:nvSpPr>
        <cdr:cNvPr id="4" name="1 CuadroTexto"/>
        <cdr:cNvSpPr txBox="1"/>
      </cdr:nvSpPr>
      <cdr:spPr>
        <a:xfrm xmlns:a="http://schemas.openxmlformats.org/drawingml/2006/main">
          <a:off x="0" y="3152775"/>
          <a:ext cx="3476625" cy="3048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Encuesta</a:t>
          </a:r>
          <a:r>
            <a:rPr lang="es-CL" sz="1100" b="0" baseline="0"/>
            <a:t> CEP, Septiembre-Octubre 2013.</a:t>
          </a:r>
          <a:endParaRPr lang="es-CL" sz="1100" b="1"/>
        </a:p>
      </cdr:txBody>
    </cdr:sp>
  </cdr:relSizeAnchor>
</c:userShapes>
</file>

<file path=xl/drawings/drawing80.xml><?xml version="1.0" encoding="utf-8"?>
<c:userShapes xmlns:c="http://schemas.openxmlformats.org/drawingml/2006/chart">
  <cdr:relSizeAnchor xmlns:cdr="http://schemas.openxmlformats.org/drawingml/2006/chartDrawing">
    <cdr:from>
      <cdr:x>3.98986E-17</cdr:x>
      <cdr:y>0.01469</cdr:y>
    </cdr:from>
    <cdr:to>
      <cdr:x>1</cdr:x>
      <cdr:y>0.17998</cdr:y>
    </cdr:to>
    <cdr:sp macro="" textlink="">
      <cdr:nvSpPr>
        <cdr:cNvPr id="2" name="1 CuadroTexto"/>
        <cdr:cNvSpPr txBox="1"/>
      </cdr:nvSpPr>
      <cdr:spPr>
        <a:xfrm xmlns:a="http://schemas.openxmlformats.org/drawingml/2006/main">
          <a:off x="50800" y="50800"/>
          <a:ext cx="4572000" cy="571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66</a:t>
          </a:r>
        </a:p>
        <a:p xmlns:a="http://schemas.openxmlformats.org/drawingml/2006/main">
          <a:r>
            <a:rPr lang="es-ES" sz="1100">
              <a:effectLst/>
              <a:latin typeface="+mn-lt"/>
              <a:ea typeface="+mn-ea"/>
              <a:cs typeface="+mn-cs"/>
            </a:rPr>
            <a:t>Apoyo</a:t>
          </a:r>
          <a:r>
            <a:rPr lang="es-ES" sz="1100" baseline="0">
              <a:effectLst/>
              <a:latin typeface="+mn-lt"/>
              <a:ea typeface="+mn-ea"/>
              <a:cs typeface="+mn-cs"/>
            </a:rPr>
            <a:t> a </a:t>
          </a:r>
          <a:r>
            <a:rPr lang="es-ES" sz="1100">
              <a:effectLst/>
              <a:latin typeface="+mn-lt"/>
              <a:ea typeface="+mn-ea"/>
              <a:cs typeface="+mn-cs"/>
            </a:rPr>
            <a:t>Asamblea</a:t>
          </a:r>
          <a:r>
            <a:rPr lang="es-ES" sz="1100" baseline="0">
              <a:effectLst/>
              <a:latin typeface="+mn-lt"/>
              <a:ea typeface="+mn-ea"/>
              <a:cs typeface="+mn-cs"/>
            </a:rPr>
            <a:t> Constituyente según Simpatía con algún Partido Político</a:t>
          </a:r>
          <a:endParaRPr lang="es-CL" sz="1100" b="0"/>
        </a:p>
      </cdr:txBody>
    </cdr:sp>
  </cdr:relSizeAnchor>
  <cdr:relSizeAnchor xmlns:cdr="http://schemas.openxmlformats.org/drawingml/2006/chartDrawing">
    <cdr:from>
      <cdr:x>0.01944</cdr:x>
      <cdr:y>0.23508</cdr:y>
    </cdr:from>
    <cdr:to>
      <cdr:x>0.08611</cdr:x>
      <cdr:y>0.73783</cdr:y>
    </cdr:to>
    <cdr:sp macro="" textlink="">
      <cdr:nvSpPr>
        <cdr:cNvPr id="3" name="1 CuadroTexto"/>
        <cdr:cNvSpPr txBox="1"/>
      </cdr:nvSpPr>
      <cdr:spPr>
        <a:xfrm xmlns:a="http://schemas.openxmlformats.org/drawingml/2006/main" rot="16200000">
          <a:off x="-627856" y="1529556"/>
          <a:ext cx="1738312" cy="3048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cdr:x>
      <cdr:y>0.91185</cdr:y>
    </cdr:from>
    <cdr:to>
      <cdr:x>0.76042</cdr:x>
      <cdr:y>1</cdr:y>
    </cdr:to>
    <cdr:sp macro="" textlink="">
      <cdr:nvSpPr>
        <cdr:cNvPr id="4" name="1 CuadroTexto"/>
        <cdr:cNvSpPr txBox="1"/>
      </cdr:nvSpPr>
      <cdr:spPr>
        <a:xfrm xmlns:a="http://schemas.openxmlformats.org/drawingml/2006/main">
          <a:off x="0" y="3152775"/>
          <a:ext cx="3476625" cy="3048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Encuesta</a:t>
          </a:r>
          <a:r>
            <a:rPr lang="es-CL" sz="1100" b="0" baseline="0"/>
            <a:t> CEP, Septiembre-Octubre 2013.</a:t>
          </a:r>
          <a:endParaRPr lang="es-CL" sz="1100" b="1"/>
        </a:p>
      </cdr:txBody>
    </cdr:sp>
  </cdr:relSizeAnchor>
</c:userShapes>
</file>

<file path=xl/drawings/drawing81.xml><?xml version="1.0" encoding="utf-8"?>
<c:userShapes xmlns:c="http://schemas.openxmlformats.org/drawingml/2006/chart">
  <cdr:relSizeAnchor xmlns:cdr="http://schemas.openxmlformats.org/drawingml/2006/chartDrawing">
    <cdr:from>
      <cdr:x>0</cdr:x>
      <cdr:y>0.92443</cdr:y>
    </cdr:from>
    <cdr:to>
      <cdr:x>0.73499</cdr:x>
      <cdr:y>1</cdr:y>
    </cdr:to>
    <cdr:sp macro="" textlink="">
      <cdr:nvSpPr>
        <cdr:cNvPr id="2" name="1 CuadroTexto"/>
        <cdr:cNvSpPr txBox="1"/>
      </cdr:nvSpPr>
      <cdr:spPr>
        <a:xfrm xmlns:a="http://schemas.openxmlformats.org/drawingml/2006/main">
          <a:off x="0" y="3165475"/>
          <a:ext cx="4396502" cy="25876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Encuesta</a:t>
          </a:r>
          <a:r>
            <a:rPr lang="es-CL" sz="1100" b="0" baseline="0"/>
            <a:t> CEP, Septiembre-Octubre 2013.</a:t>
          </a:r>
          <a:endParaRPr lang="es-CL" sz="1100" b="1"/>
        </a:p>
      </cdr:txBody>
    </cdr:sp>
  </cdr:relSizeAnchor>
  <cdr:relSizeAnchor xmlns:cdr="http://schemas.openxmlformats.org/drawingml/2006/chartDrawing">
    <cdr:from>
      <cdr:x>0.00849</cdr:x>
      <cdr:y>0.01484</cdr:y>
    </cdr:from>
    <cdr:to>
      <cdr:x>0.97505</cdr:x>
      <cdr:y>0.18173</cdr:y>
    </cdr:to>
    <cdr:sp macro="" textlink="">
      <cdr:nvSpPr>
        <cdr:cNvPr id="3" name="1 CuadroTexto"/>
        <cdr:cNvSpPr txBox="1"/>
      </cdr:nvSpPr>
      <cdr:spPr>
        <a:xfrm xmlns:a="http://schemas.openxmlformats.org/drawingml/2006/main">
          <a:off x="50800" y="50800"/>
          <a:ext cx="5781676" cy="57150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67</a:t>
          </a:r>
        </a:p>
        <a:p xmlns:a="http://schemas.openxmlformats.org/drawingml/2006/main">
          <a:r>
            <a:rPr lang="es-ES" sz="1100">
              <a:effectLst/>
              <a:latin typeface="+mn-lt"/>
              <a:ea typeface="+mn-ea"/>
              <a:cs typeface="+mn-cs"/>
            </a:rPr>
            <a:t>Apoyo</a:t>
          </a:r>
          <a:r>
            <a:rPr lang="es-ES" sz="1100" baseline="0">
              <a:effectLst/>
              <a:latin typeface="+mn-lt"/>
              <a:ea typeface="+mn-ea"/>
              <a:cs typeface="+mn-cs"/>
            </a:rPr>
            <a:t> a </a:t>
          </a:r>
          <a:r>
            <a:rPr lang="es-ES" sz="1100">
              <a:effectLst/>
              <a:latin typeface="+mn-lt"/>
              <a:ea typeface="+mn-ea"/>
              <a:cs typeface="+mn-cs"/>
            </a:rPr>
            <a:t>Asamblea</a:t>
          </a:r>
          <a:r>
            <a:rPr lang="es-ES" sz="1100" baseline="0">
              <a:effectLst/>
              <a:latin typeface="+mn-lt"/>
              <a:ea typeface="+mn-ea"/>
              <a:cs typeface="+mn-cs"/>
            </a:rPr>
            <a:t> Constituyente según Participación Electoral Pasada</a:t>
          </a:r>
          <a:endParaRPr lang="es-CL" sz="1100" b="0"/>
        </a:p>
      </cdr:txBody>
    </cdr:sp>
  </cdr:relSizeAnchor>
  <cdr:relSizeAnchor xmlns:cdr="http://schemas.openxmlformats.org/drawingml/2006/chartDrawing">
    <cdr:from>
      <cdr:x>0</cdr:x>
      <cdr:y>0.22068</cdr:y>
    </cdr:from>
    <cdr:to>
      <cdr:x>0.06444</cdr:x>
      <cdr:y>0.72832</cdr:y>
    </cdr:to>
    <cdr:sp macro="" textlink="">
      <cdr:nvSpPr>
        <cdr:cNvPr id="4" name="1 CuadroTexto"/>
        <cdr:cNvSpPr txBox="1"/>
      </cdr:nvSpPr>
      <cdr:spPr>
        <a:xfrm xmlns:a="http://schemas.openxmlformats.org/drawingml/2006/main" rot="16200000">
          <a:off x="-676416" y="1432066"/>
          <a:ext cx="1738296" cy="38546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userShapes>
</file>

<file path=xl/drawings/drawing82.xml><?xml version="1.0" encoding="utf-8"?>
<c:userShapes xmlns:c="http://schemas.openxmlformats.org/drawingml/2006/chart">
  <cdr:relSizeAnchor xmlns:cdr="http://schemas.openxmlformats.org/drawingml/2006/chartDrawing">
    <cdr:from>
      <cdr:x>0.00845</cdr:x>
      <cdr:y>0.01535</cdr:y>
    </cdr:from>
    <cdr:to>
      <cdr:x>0.97042</cdr:x>
      <cdr:y>0.18801</cdr:y>
    </cdr:to>
    <cdr:sp macro="" textlink="">
      <cdr:nvSpPr>
        <cdr:cNvPr id="2" name="1 CuadroTexto"/>
        <cdr:cNvSpPr txBox="1"/>
      </cdr:nvSpPr>
      <cdr:spPr>
        <a:xfrm xmlns:a="http://schemas.openxmlformats.org/drawingml/2006/main">
          <a:off x="50800" y="50800"/>
          <a:ext cx="5781676" cy="57150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GRÁFICO 68</a:t>
          </a:r>
        </a:p>
        <a:p xmlns:a="http://schemas.openxmlformats.org/drawingml/2006/main">
          <a:r>
            <a:rPr lang="es-ES" sz="1100">
              <a:effectLst/>
              <a:latin typeface="+mn-lt"/>
              <a:ea typeface="+mn-ea"/>
              <a:cs typeface="+mn-cs"/>
            </a:rPr>
            <a:t>Apoyo</a:t>
          </a:r>
          <a:r>
            <a:rPr lang="es-ES" sz="1100" baseline="0">
              <a:effectLst/>
              <a:latin typeface="+mn-lt"/>
              <a:ea typeface="+mn-ea"/>
              <a:cs typeface="+mn-cs"/>
            </a:rPr>
            <a:t> a </a:t>
          </a:r>
          <a:r>
            <a:rPr lang="es-ES" sz="1100">
              <a:effectLst/>
              <a:latin typeface="+mn-lt"/>
              <a:ea typeface="+mn-ea"/>
              <a:cs typeface="+mn-cs"/>
            </a:rPr>
            <a:t>Asamblea</a:t>
          </a:r>
          <a:r>
            <a:rPr lang="es-ES" sz="1100" baseline="0">
              <a:effectLst/>
              <a:latin typeface="+mn-lt"/>
              <a:ea typeface="+mn-ea"/>
              <a:cs typeface="+mn-cs"/>
            </a:rPr>
            <a:t> Constituyente según Proyección de Participación Electoral </a:t>
          </a:r>
          <a:endParaRPr lang="es-CL" sz="1100" b="0"/>
        </a:p>
      </cdr:txBody>
    </cdr:sp>
  </cdr:relSizeAnchor>
  <cdr:relSizeAnchor xmlns:cdr="http://schemas.openxmlformats.org/drawingml/2006/chartDrawing">
    <cdr:from>
      <cdr:x>0</cdr:x>
      <cdr:y>0.20815</cdr:y>
    </cdr:from>
    <cdr:to>
      <cdr:x>0.06413</cdr:x>
      <cdr:y>0.73333</cdr:y>
    </cdr:to>
    <cdr:sp macro="" textlink="">
      <cdr:nvSpPr>
        <cdr:cNvPr id="3" name="1 CuadroTexto"/>
        <cdr:cNvSpPr txBox="1"/>
      </cdr:nvSpPr>
      <cdr:spPr>
        <a:xfrm xmlns:a="http://schemas.openxmlformats.org/drawingml/2006/main" rot="16200000">
          <a:off x="-676416" y="1365391"/>
          <a:ext cx="1738296" cy="38546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a:t>Porcentaje de Menciones</a:t>
          </a:r>
        </a:p>
      </cdr:txBody>
    </cdr:sp>
  </cdr:relSizeAnchor>
  <cdr:relSizeAnchor xmlns:cdr="http://schemas.openxmlformats.org/drawingml/2006/chartDrawing">
    <cdr:from>
      <cdr:x>0</cdr:x>
      <cdr:y>0.92182</cdr:y>
    </cdr:from>
    <cdr:to>
      <cdr:x>0.7315</cdr:x>
      <cdr:y>1</cdr:y>
    </cdr:to>
    <cdr:sp macro="" textlink="">
      <cdr:nvSpPr>
        <cdr:cNvPr id="4" name="1 CuadroTexto"/>
        <cdr:cNvSpPr txBox="1"/>
      </cdr:nvSpPr>
      <cdr:spPr>
        <a:xfrm xmlns:a="http://schemas.openxmlformats.org/drawingml/2006/main">
          <a:off x="0" y="3051175"/>
          <a:ext cx="4396502" cy="25876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L" sz="1100" b="1"/>
            <a:t>Fuente: </a:t>
          </a:r>
          <a:r>
            <a:rPr lang="es-CL" sz="1100" b="0"/>
            <a:t>Encuesta</a:t>
          </a:r>
          <a:r>
            <a:rPr lang="es-CL" sz="1100" b="0" baseline="0"/>
            <a:t> CEP, Septiembre-Octubre 2013.</a:t>
          </a:r>
          <a:endParaRPr lang="es-CL" sz="1100" b="1"/>
        </a:p>
      </cdr:txBody>
    </cdr:sp>
  </cdr:relSizeAnchor>
</c:userShapes>
</file>

<file path=xl/drawings/drawing83.xml><?xml version="1.0" encoding="utf-8"?>
<xdr:wsDr xmlns:xdr="http://schemas.openxmlformats.org/drawingml/2006/spreadsheetDrawing" xmlns:a="http://schemas.openxmlformats.org/drawingml/2006/main">
  <xdr:twoCellAnchor editAs="oneCell">
    <xdr:from>
      <xdr:col>3</xdr:col>
      <xdr:colOff>657225</xdr:colOff>
      <xdr:row>0</xdr:row>
      <xdr:rowOff>152400</xdr:rowOff>
    </xdr:from>
    <xdr:to>
      <xdr:col>10</xdr:col>
      <xdr:colOff>590550</xdr:colOff>
      <xdr:row>29</xdr:row>
      <xdr:rowOff>47625</xdr:rowOff>
    </xdr:to>
    <xdr:pic>
      <xdr:nvPicPr>
        <xdr:cNvPr id="2" name="1 Imagen"/>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53225" y="152400"/>
          <a:ext cx="5267325" cy="547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Benjamin/Documents/9%20Proyectos%20PNUD/4%20Informe%20Asamblea%20Constituyente/Datos,%20Tablas%20y%20Gr&#225;fico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ERC"/>
      <sheetName val="CEP"/>
      <sheetName val="UDP"/>
      <sheetName val="Tabla Encuestas"/>
      <sheetName val="LAPOP"/>
      <sheetName val="LAPOP1"/>
      <sheetName val="LAPOP2"/>
      <sheetName val="LAPOP3"/>
      <sheetName val="LAPOP4"/>
      <sheetName val="UDP13"/>
      <sheetName val="CEP13"/>
      <sheetName val="Hoja1"/>
    </sheetNames>
    <sheetDataSet>
      <sheetData sheetId="0">
        <row r="8">
          <cell r="E8" t="str">
            <v>Dic 95</v>
          </cell>
          <cell r="F8" t="str">
            <v>May 00</v>
          </cell>
          <cell r="G8" t="str">
            <v>Abr 02</v>
          </cell>
          <cell r="H8" t="str">
            <v>Jul 09</v>
          </cell>
          <cell r="I8" t="str">
            <v>Ago 11</v>
          </cell>
        </row>
        <row r="9">
          <cell r="D9" t="str">
            <v>Hay que Reformarla</v>
          </cell>
          <cell r="E9">
            <v>63</v>
          </cell>
          <cell r="F9">
            <v>58</v>
          </cell>
          <cell r="G9">
            <v>61</v>
          </cell>
          <cell r="H9">
            <v>48</v>
          </cell>
          <cell r="I9">
            <v>75</v>
          </cell>
        </row>
        <row r="10">
          <cell r="D10" t="str">
            <v>Debe Quedarse como Está</v>
          </cell>
          <cell r="E10">
            <v>20</v>
          </cell>
          <cell r="F10">
            <v>26</v>
          </cell>
          <cell r="G10">
            <v>16</v>
          </cell>
          <cell r="H10">
            <v>13</v>
          </cell>
          <cell r="I10">
            <v>9</v>
          </cell>
        </row>
        <row r="11">
          <cell r="D11" t="str">
            <v>NS/NR</v>
          </cell>
          <cell r="E11">
            <v>16</v>
          </cell>
          <cell r="F11">
            <v>15</v>
          </cell>
          <cell r="G11">
            <v>23</v>
          </cell>
          <cell r="H11">
            <v>39</v>
          </cell>
          <cell r="I11">
            <v>17</v>
          </cell>
        </row>
      </sheetData>
      <sheetData sheetId="1">
        <row r="1">
          <cell r="G1" t="str">
            <v>Reformas Constitucionales</v>
          </cell>
        </row>
        <row r="2">
          <cell r="F2" t="str">
            <v>Jun 96</v>
          </cell>
          <cell r="G2">
            <v>2.2999999999999998</v>
          </cell>
        </row>
        <row r="3">
          <cell r="F3" t="str">
            <v>Nov 96</v>
          </cell>
          <cell r="G3">
            <v>2.1</v>
          </cell>
        </row>
        <row r="4">
          <cell r="F4" t="str">
            <v>Jun 97</v>
          </cell>
          <cell r="G4">
            <v>2.5</v>
          </cell>
        </row>
        <row r="5">
          <cell r="F5" t="str">
            <v>Dic 97</v>
          </cell>
          <cell r="G5">
            <v>2.8</v>
          </cell>
        </row>
        <row r="6">
          <cell r="F6" t="str">
            <v>Jun 98</v>
          </cell>
          <cell r="G6">
            <v>3</v>
          </cell>
        </row>
        <row r="7">
          <cell r="F7" t="str">
            <v>Abr 99</v>
          </cell>
          <cell r="G7">
            <v>4</v>
          </cell>
        </row>
        <row r="8">
          <cell r="F8" t="str">
            <v>Sep 99</v>
          </cell>
          <cell r="G8">
            <v>5</v>
          </cell>
        </row>
        <row r="9">
          <cell r="F9" t="str">
            <v>Mar 00</v>
          </cell>
          <cell r="G9">
            <v>4</v>
          </cell>
        </row>
        <row r="10">
          <cell r="F10" t="str">
            <v>Nov 00</v>
          </cell>
          <cell r="G10">
            <v>2.4</v>
          </cell>
        </row>
        <row r="11">
          <cell r="F11" t="str">
            <v>Jun 01</v>
          </cell>
          <cell r="G11">
            <v>3.5</v>
          </cell>
        </row>
        <row r="12">
          <cell r="F12" t="str">
            <v>Dic 01</v>
          </cell>
          <cell r="G12">
            <v>4.5</v>
          </cell>
        </row>
        <row r="13">
          <cell r="F13" t="str">
            <v>Jul 02</v>
          </cell>
          <cell r="G13">
            <v>4.9000000000000004</v>
          </cell>
        </row>
        <row r="14">
          <cell r="F14" t="str">
            <v>Dic 02</v>
          </cell>
          <cell r="G14">
            <v>4.3</v>
          </cell>
        </row>
        <row r="15">
          <cell r="F15" t="str">
            <v>Jun 03</v>
          </cell>
          <cell r="G15">
            <v>3.3</v>
          </cell>
        </row>
        <row r="16">
          <cell r="F16" t="str">
            <v>Dic 03</v>
          </cell>
          <cell r="G16">
            <v>3.3</v>
          </cell>
        </row>
        <row r="17">
          <cell r="F17" t="str">
            <v>Jun 04</v>
          </cell>
          <cell r="G17">
            <v>3.1</v>
          </cell>
        </row>
        <row r="18">
          <cell r="F18" t="str">
            <v>Dic 04</v>
          </cell>
          <cell r="G18">
            <v>3.2</v>
          </cell>
        </row>
        <row r="19">
          <cell r="F19" t="str">
            <v>Jun 05</v>
          </cell>
          <cell r="G19">
            <v>2.8</v>
          </cell>
        </row>
      </sheetData>
      <sheetData sheetId="2">
        <row r="1">
          <cell r="B1" t="str">
            <v>Hacer un Plebiscito</v>
          </cell>
          <cell r="C1" t="str">
            <v>Convocar a un Grupo de Expertos para Decidir</v>
          </cell>
          <cell r="D1" t="str">
            <v>NS/NR</v>
          </cell>
        </row>
        <row r="2">
          <cell r="A2" t="str">
            <v>Total</v>
          </cell>
          <cell r="B2">
            <v>54.6</v>
          </cell>
          <cell r="C2">
            <v>37.299999999999997</v>
          </cell>
          <cell r="D2">
            <v>8.1</v>
          </cell>
        </row>
        <row r="8">
          <cell r="G8" t="str">
            <v>Hacer un Plebiscito</v>
          </cell>
          <cell r="H8" t="str">
            <v>Convocar a un Grupo de Expertos</v>
          </cell>
          <cell r="I8" t="str">
            <v>No Sabe/No Responde</v>
          </cell>
        </row>
        <row r="9">
          <cell r="F9" t="str">
            <v>Derecha</v>
          </cell>
          <cell r="G9">
            <v>50.6</v>
          </cell>
          <cell r="H9">
            <v>47.2</v>
          </cell>
          <cell r="I9">
            <v>2.2999999999999998</v>
          </cell>
        </row>
        <row r="10">
          <cell r="F10" t="str">
            <v>Centro</v>
          </cell>
          <cell r="G10">
            <v>56.2</v>
          </cell>
          <cell r="H10">
            <v>38.4</v>
          </cell>
          <cell r="I10">
            <v>5.4</v>
          </cell>
        </row>
        <row r="11">
          <cell r="F11" t="str">
            <v>Izquierda</v>
          </cell>
          <cell r="G11">
            <v>64.599999999999994</v>
          </cell>
          <cell r="H11">
            <v>29.7</v>
          </cell>
          <cell r="I11">
            <v>5.7</v>
          </cell>
        </row>
        <row r="12">
          <cell r="F12" t="str">
            <v>Ninguna</v>
          </cell>
          <cell r="G12">
            <v>52.4</v>
          </cell>
          <cell r="H12">
            <v>37.299999999999997</v>
          </cell>
          <cell r="I12">
            <v>10.3</v>
          </cell>
        </row>
        <row r="22">
          <cell r="AD22" t="str">
            <v>Hacer un Plebiscito</v>
          </cell>
          <cell r="AE22" t="str">
            <v xml:space="preserve">Convocar a un Grupo de Expertos </v>
          </cell>
          <cell r="AF22" t="str">
            <v>No Sabe/No Responde</v>
          </cell>
        </row>
        <row r="23">
          <cell r="AC23" t="str">
            <v>Ed. Básica</v>
          </cell>
          <cell r="AD23">
            <v>45.957960202541727</v>
          </cell>
          <cell r="AE23">
            <v>37.458722882218289</v>
          </cell>
          <cell r="AF23">
            <v>16.583316915239983</v>
          </cell>
        </row>
        <row r="24">
          <cell r="AC24" t="str">
            <v>Ed. Media</v>
          </cell>
          <cell r="AD24">
            <v>55.55834880441509</v>
          </cell>
          <cell r="AE24">
            <v>37.395522009515986</v>
          </cell>
          <cell r="AF24">
            <v>7.0461291860689252</v>
          </cell>
        </row>
        <row r="25">
          <cell r="AC25" t="str">
            <v>Técnica Sup.</v>
          </cell>
          <cell r="AD25">
            <v>59.436248159014873</v>
          </cell>
          <cell r="AE25">
            <v>34.037647423314446</v>
          </cell>
          <cell r="AF25">
            <v>6.5261044176706831</v>
          </cell>
        </row>
        <row r="26">
          <cell r="AC26" t="str">
            <v>Universitaria</v>
          </cell>
          <cell r="AD26">
            <v>58.809123972716137</v>
          </cell>
          <cell r="AE26">
            <v>39.722021581830653</v>
          </cell>
          <cell r="AF26">
            <v>1.4688544454532058</v>
          </cell>
        </row>
      </sheetData>
      <sheetData sheetId="3" refreshError="1"/>
      <sheetData sheetId="4">
        <row r="14">
          <cell r="B14" t="str">
            <v>Muy de acuerdo</v>
          </cell>
          <cell r="C14">
            <v>19.913598056049914</v>
          </cell>
          <cell r="I14" t="str">
            <v>Que el Congreso decida</v>
          </cell>
          <cell r="J14">
            <v>10.43901867253618</v>
          </cell>
        </row>
        <row r="15">
          <cell r="B15" t="str">
            <v>De acuerdo</v>
          </cell>
          <cell r="C15">
            <v>50.213409271035019</v>
          </cell>
          <cell r="I15" t="str">
            <v>Que la ciudadanía decida votando</v>
          </cell>
          <cell r="J15">
            <v>89.560981327463821</v>
          </cell>
        </row>
        <row r="16">
          <cell r="B16" t="str">
            <v>Ni de acuerdo ni en desacuerdo</v>
          </cell>
          <cell r="C16">
            <v>25.945015177114318</v>
          </cell>
        </row>
        <row r="17">
          <cell r="B17" t="str">
            <v>En desacuerdo</v>
          </cell>
          <cell r="C17">
            <v>2.9458546261906751</v>
          </cell>
        </row>
        <row r="18">
          <cell r="B18" t="str">
            <v>Muy en desacuerdo</v>
          </cell>
          <cell r="C18">
            <v>0.982122869610076</v>
          </cell>
        </row>
      </sheetData>
      <sheetData sheetId="5">
        <row r="10">
          <cell r="E10" t="str">
            <v>Hombre (48.1%)</v>
          </cell>
          <cell r="F10" t="str">
            <v>Mujer (51.9%)</v>
          </cell>
          <cell r="S10" t="str">
            <v>18 a 29 años (27.3%)</v>
          </cell>
          <cell r="T10" t="str">
            <v>30 a 45 años (28.6%)</v>
          </cell>
          <cell r="U10" t="str">
            <v>46 a 60 años (25.2%)</v>
          </cell>
          <cell r="V10" t="str">
            <v>61 años y más (19.0%)</v>
          </cell>
          <cell r="CN10" t="str">
            <v>Básica (23.5%)</v>
          </cell>
          <cell r="CO10" t="str">
            <v>Media (47.6%)</v>
          </cell>
          <cell r="CP10" t="str">
            <v>Técnico Sup. (20.5%)</v>
          </cell>
          <cell r="CQ10" t="str">
            <v>Universitaria (8.4%)</v>
          </cell>
        </row>
        <row r="11">
          <cell r="D11" t="str">
            <v>Muy de acuerdo</v>
          </cell>
          <cell r="E11">
            <v>22.222222222222221</v>
          </cell>
          <cell r="F11">
            <v>17.774762550881952</v>
          </cell>
          <cell r="R11" t="str">
            <v>Muy de acuerdo</v>
          </cell>
          <cell r="S11">
            <v>18.911917098445596</v>
          </cell>
          <cell r="T11">
            <v>20.544554455445542</v>
          </cell>
          <cell r="U11">
            <v>21.910112359550563</v>
          </cell>
          <cell r="V11">
            <v>16.417910447761194</v>
          </cell>
          <cell r="CM11" t="str">
            <v>Muy de acuerdo</v>
          </cell>
          <cell r="CN11">
            <v>14.714714714714713</v>
          </cell>
          <cell r="CO11">
            <v>18.37037037037037</v>
          </cell>
          <cell r="CP11">
            <v>25.210084033613445</v>
          </cell>
          <cell r="CQ11">
            <v>27.931034482758619</v>
          </cell>
        </row>
        <row r="12">
          <cell r="D12" t="str">
            <v>De acuerdo</v>
          </cell>
          <cell r="E12">
            <v>47.807017543859651</v>
          </cell>
          <cell r="F12">
            <v>52.374491180461327</v>
          </cell>
          <cell r="R12" t="str">
            <v>De acuerdo</v>
          </cell>
          <cell r="S12">
            <v>50</v>
          </cell>
          <cell r="T12">
            <v>47.524752475247524</v>
          </cell>
          <cell r="U12">
            <v>49.719101123595507</v>
          </cell>
          <cell r="V12">
            <v>55.597014925373131</v>
          </cell>
          <cell r="CM12" t="str">
            <v>De acuerdo</v>
          </cell>
          <cell r="CN12">
            <v>50.750750750750754</v>
          </cell>
          <cell r="CO12">
            <v>48.74074074074074</v>
          </cell>
          <cell r="CP12">
            <v>53.781512605042018</v>
          </cell>
          <cell r="CQ12">
            <v>51.03448275862069</v>
          </cell>
        </row>
        <row r="13">
          <cell r="D13" t="str">
            <v>Ni de acuerdo ni en desacuerdo</v>
          </cell>
          <cell r="E13">
            <v>26.315789473684209</v>
          </cell>
          <cell r="F13">
            <v>25.64450474898236</v>
          </cell>
          <cell r="R13" t="str">
            <v>Ni de acuerdo ni en desacuerdo</v>
          </cell>
          <cell r="S13">
            <v>26.683937823834196</v>
          </cell>
          <cell r="T13">
            <v>28.960396039603957</v>
          </cell>
          <cell r="U13">
            <v>23.314606741573034</v>
          </cell>
          <cell r="V13">
            <v>24.253731343283583</v>
          </cell>
          <cell r="CM13" t="str">
            <v>Ni de acuerdo ni en desacuerdo</v>
          </cell>
          <cell r="CN13">
            <v>31.531531531531531</v>
          </cell>
          <cell r="CO13">
            <v>27.851851851851851</v>
          </cell>
          <cell r="CP13">
            <v>17.647058823529413</v>
          </cell>
          <cell r="CQ13">
            <v>18.275862068965516</v>
          </cell>
        </row>
        <row r="14">
          <cell r="D14" t="str">
            <v>En desacuerdo</v>
          </cell>
          <cell r="E14">
            <v>2.4853801169590644</v>
          </cell>
          <cell r="F14">
            <v>3.3921302578018993</v>
          </cell>
          <cell r="R14" t="str">
            <v>En desacuerdo</v>
          </cell>
          <cell r="S14">
            <v>3.8860103626943006</v>
          </cell>
          <cell r="T14">
            <v>1.7326732673267329</v>
          </cell>
          <cell r="U14">
            <v>3.3707865168539324</v>
          </cell>
          <cell r="V14">
            <v>3.3582089552238807</v>
          </cell>
          <cell r="CM14" t="str">
            <v>En desacuerdo</v>
          </cell>
          <cell r="CN14">
            <v>2.7027027027027026</v>
          </cell>
          <cell r="CO14">
            <v>3.7037037037037033</v>
          </cell>
          <cell r="CP14">
            <v>3.3613445378151261</v>
          </cell>
          <cell r="CQ14">
            <v>1.3793103448275863</v>
          </cell>
        </row>
        <row r="15">
          <cell r="D15" t="str">
            <v>Muy en desacuerdo</v>
          </cell>
          <cell r="E15">
            <v>1.1695906432748537</v>
          </cell>
          <cell r="F15">
            <v>0.81411126187245586</v>
          </cell>
          <cell r="R15" t="str">
            <v>Muy en desacuerdo</v>
          </cell>
          <cell r="S15">
            <v>0.5181347150259068</v>
          </cell>
          <cell r="T15">
            <v>1.2376237623762376</v>
          </cell>
          <cell r="U15">
            <v>1.6853932584269662</v>
          </cell>
          <cell r="V15">
            <v>0.37313432835820892</v>
          </cell>
          <cell r="CM15" t="str">
            <v>Muy en desacuerdo</v>
          </cell>
          <cell r="CN15">
            <v>0.3003003003003003</v>
          </cell>
          <cell r="CO15">
            <v>1.3333333333333333</v>
          </cell>
          <cell r="CP15">
            <v>0</v>
          </cell>
          <cell r="CQ15">
            <v>1.3793103448275863</v>
          </cell>
        </row>
      </sheetData>
      <sheetData sheetId="6">
        <row r="27">
          <cell r="CI27" t="str">
            <v>Sí ha participado (11.4%)</v>
          </cell>
          <cell r="CJ27" t="str">
            <v>No ha participado (88.6%)</v>
          </cell>
        </row>
        <row r="28">
          <cell r="CH28" t="str">
            <v>Muy de acuerdo</v>
          </cell>
          <cell r="CI28">
            <v>37.037037037037038</v>
          </cell>
          <cell r="CJ28">
            <v>17.703349282296653</v>
          </cell>
        </row>
        <row r="29">
          <cell r="CH29" t="str">
            <v>De acuerdo</v>
          </cell>
          <cell r="CI29">
            <v>35.802469135802468</v>
          </cell>
          <cell r="CJ29">
            <v>52.153110047846887</v>
          </cell>
        </row>
        <row r="30">
          <cell r="CH30" t="str">
            <v>Ni de acuerdo ni en desacuerdo</v>
          </cell>
          <cell r="CI30">
            <v>21.604938271604937</v>
          </cell>
          <cell r="CJ30">
            <v>26.395534290271133</v>
          </cell>
        </row>
        <row r="31">
          <cell r="CH31" t="str">
            <v>En desacuerdo</v>
          </cell>
          <cell r="CI31">
            <v>2.4691358024691357</v>
          </cell>
          <cell r="CJ31">
            <v>3.0303030303030303</v>
          </cell>
        </row>
        <row r="32">
          <cell r="CH32" t="str">
            <v>Muy en desacuerdo</v>
          </cell>
          <cell r="CI32">
            <v>3.0864197530864197</v>
          </cell>
          <cell r="CJ32">
            <v>0.71770334928229662</v>
          </cell>
        </row>
        <row r="34">
          <cell r="D34" t="str">
            <v>Izquierda (22.0%)</v>
          </cell>
          <cell r="E34" t="str">
            <v>Centro (63.8%)</v>
          </cell>
          <cell r="F34" t="str">
            <v>Derecha (14.1%)</v>
          </cell>
          <cell r="BB34" t="str">
            <v>Poco Respeto (20.1%)</v>
          </cell>
          <cell r="BC34" t="str">
            <v>Respeto Medio (23.4%)</v>
          </cell>
          <cell r="BD34" t="str">
            <v>Mucho Respeto (56.5%)</v>
          </cell>
          <cell r="BN34" t="str">
            <v>Bajo Apoyo (23.7%)</v>
          </cell>
          <cell r="BO34" t="str">
            <v>Apoyo Medio (25.7%)</v>
          </cell>
          <cell r="BP34" t="str">
            <v>Alto Apoyo (50.6%)</v>
          </cell>
        </row>
        <row r="35">
          <cell r="C35" t="str">
            <v>Muy de acuerdo</v>
          </cell>
          <cell r="D35">
            <v>28.099173553719009</v>
          </cell>
          <cell r="E35">
            <v>18.259629101283881</v>
          </cell>
          <cell r="F35">
            <v>23.870967741935484</v>
          </cell>
          <cell r="BA35" t="str">
            <v>Muy de acuerdo</v>
          </cell>
          <cell r="BB35">
            <v>26.595744680851062</v>
          </cell>
          <cell r="BC35">
            <v>12.195121951219512</v>
          </cell>
          <cell r="BD35">
            <v>20.986093552465235</v>
          </cell>
          <cell r="BM35" t="str">
            <v>Muy de acuerdo</v>
          </cell>
          <cell r="BN35">
            <v>26.506024096385545</v>
          </cell>
          <cell r="BO35">
            <v>20.612813370473539</v>
          </cell>
          <cell r="BP35">
            <v>17.114568599717114</v>
          </cell>
          <cell r="BZ35" t="str">
            <v>Nada (34.8%)</v>
          </cell>
          <cell r="CA35" t="str">
            <v>Poco (36.6%)</v>
          </cell>
          <cell r="CB35" t="str">
            <v>Algo (24.1%)</v>
          </cell>
          <cell r="CC35" t="str">
            <v>Mucho (4.5%)</v>
          </cell>
        </row>
        <row r="36">
          <cell r="C36" t="str">
            <v>De acuerdo</v>
          </cell>
          <cell r="D36">
            <v>49.586776859504134</v>
          </cell>
          <cell r="E36">
            <v>50.641940085592005</v>
          </cell>
          <cell r="F36">
            <v>42.58064516129032</v>
          </cell>
          <cell r="BA36" t="str">
            <v>De acuerdo</v>
          </cell>
          <cell r="BB36">
            <v>45.390070921985817</v>
          </cell>
          <cell r="BC36">
            <v>52.134146341463413</v>
          </cell>
          <cell r="BD36">
            <v>51.580278128950695</v>
          </cell>
          <cell r="BM36" t="str">
            <v>De acuerdo</v>
          </cell>
          <cell r="BN36">
            <v>41.265060240963855</v>
          </cell>
          <cell r="BO36">
            <v>50.417827298050142</v>
          </cell>
          <cell r="BP36">
            <v>54.738330975954739</v>
          </cell>
          <cell r="BY36" t="str">
            <v>Muy de acuerdo</v>
          </cell>
          <cell r="BZ36">
            <v>15.163934426229508</v>
          </cell>
          <cell r="CA36">
            <v>18.28793774319066</v>
          </cell>
          <cell r="CB36">
            <v>23.598820058997049</v>
          </cell>
          <cell r="CC36">
            <v>50.793650793650791</v>
          </cell>
        </row>
        <row r="37">
          <cell r="C37" t="str">
            <v>Ni de acuerdo ni en desacuerdo</v>
          </cell>
          <cell r="D37">
            <v>19.421487603305785</v>
          </cell>
          <cell r="E37">
            <v>27.532097004279599</v>
          </cell>
          <cell r="F37">
            <v>29.032258064516132</v>
          </cell>
          <cell r="BA37" t="str">
            <v>Ni de acuerdo ni en desacuerdo</v>
          </cell>
          <cell r="BB37">
            <v>22.340425531914892</v>
          </cell>
          <cell r="BC37">
            <v>31.707317073170731</v>
          </cell>
          <cell r="BD37">
            <v>24.273072060682679</v>
          </cell>
          <cell r="BM37" t="str">
            <v>Ni de acuerdo ni en desacuerdo</v>
          </cell>
          <cell r="BN37">
            <v>25.903614457831324</v>
          </cell>
          <cell r="BO37">
            <v>25.626740947075209</v>
          </cell>
          <cell r="BP37">
            <v>25.035360678925034</v>
          </cell>
          <cell r="BY37" t="str">
            <v>De acuerdo</v>
          </cell>
          <cell r="BZ37">
            <v>47.745901639344261</v>
          </cell>
          <cell r="CA37">
            <v>54.863813229571988</v>
          </cell>
          <cell r="CB37">
            <v>51.622418879056042</v>
          </cell>
          <cell r="CC37">
            <v>26.984126984126984</v>
          </cell>
        </row>
        <row r="38">
          <cell r="C38" t="str">
            <v>En desacuerdo</v>
          </cell>
          <cell r="D38">
            <v>2.4793388429752068</v>
          </cell>
          <cell r="E38">
            <v>3.1383737517831669</v>
          </cell>
          <cell r="F38">
            <v>1.935483870967742</v>
          </cell>
          <cell r="BA38" t="str">
            <v>En desacuerdo</v>
          </cell>
          <cell r="BB38">
            <v>3.5460992907801421</v>
          </cell>
          <cell r="BC38">
            <v>3.3536585365853662</v>
          </cell>
          <cell r="BD38">
            <v>2.4020227560050569</v>
          </cell>
          <cell r="BM38" t="str">
            <v>En desacuerdo</v>
          </cell>
          <cell r="BN38">
            <v>4.5180722891566267</v>
          </cell>
          <cell r="BO38">
            <v>2.785515320334262</v>
          </cell>
          <cell r="BP38">
            <v>2.1216407355021216</v>
          </cell>
          <cell r="BY38" t="str">
            <v>Ni de acuerdo ni en desacuerdo</v>
          </cell>
          <cell r="BZ38">
            <v>32.172131147540981</v>
          </cell>
          <cell r="CA38">
            <v>22.957198443579767</v>
          </cell>
          <cell r="CB38">
            <v>22.123893805309734</v>
          </cell>
          <cell r="CC38">
            <v>19.047619047619047</v>
          </cell>
        </row>
        <row r="39">
          <cell r="C39" t="str">
            <v>Muy en desacuerdo</v>
          </cell>
          <cell r="D39">
            <v>0.41322314049586778</v>
          </cell>
          <cell r="E39">
            <v>0.42796005706134094</v>
          </cell>
          <cell r="F39">
            <v>2.5806451612903225</v>
          </cell>
          <cell r="BA39" t="str">
            <v>Muy en desacuerdo</v>
          </cell>
          <cell r="BB39">
            <v>2.1276595744680851</v>
          </cell>
          <cell r="BC39">
            <v>0.6097560975609756</v>
          </cell>
          <cell r="BD39">
            <v>0.75853350189633373</v>
          </cell>
          <cell r="BM39" t="str">
            <v>Muy en desacuerdo</v>
          </cell>
          <cell r="BN39">
            <v>1.8072289156626504</v>
          </cell>
          <cell r="BO39">
            <v>0.55710306406685239</v>
          </cell>
          <cell r="BP39">
            <v>0.99009900990099009</v>
          </cell>
          <cell r="BY39" t="str">
            <v>En desacuerdo</v>
          </cell>
          <cell r="BZ39">
            <v>3.278688524590164</v>
          </cell>
          <cell r="CA39">
            <v>3.3073929961089497</v>
          </cell>
          <cell r="CB39">
            <v>2.6548672566371683</v>
          </cell>
          <cell r="CC39">
            <v>0</v>
          </cell>
        </row>
        <row r="40">
          <cell r="BY40" t="str">
            <v>Muy en desacuerdo</v>
          </cell>
          <cell r="BZ40">
            <v>1.639344262295082</v>
          </cell>
          <cell r="CA40">
            <v>0.58365758754863817</v>
          </cell>
          <cell r="CB40">
            <v>0</v>
          </cell>
          <cell r="CC40">
            <v>3.1746031746031744</v>
          </cell>
        </row>
      </sheetData>
      <sheetData sheetId="7">
        <row r="11">
          <cell r="EP11" t="str">
            <v>Poco Respeto (19.9%)</v>
          </cell>
          <cell r="EQ11" t="str">
            <v>Respeto Medio (23.3%)</v>
          </cell>
          <cell r="ER11" t="str">
            <v>Mucho Respeto (56.9%)</v>
          </cell>
          <cell r="FB11" t="str">
            <v>Bajo Apoyo (23.7%)</v>
          </cell>
          <cell r="FC11" t="str">
            <v>Apoyo Medio (25.9%)</v>
          </cell>
          <cell r="FD11" t="str">
            <v>Alto Apoyo (50.4%)</v>
          </cell>
        </row>
        <row r="12">
          <cell r="CL12" t="str">
            <v>Básica (24.1%)</v>
          </cell>
          <cell r="CM12" t="str">
            <v>Media (47.0%)</v>
          </cell>
          <cell r="CN12" t="str">
            <v>Técnico Sup. (20.6%)</v>
          </cell>
          <cell r="CO12" t="str">
            <v>Universitaria (8.3%)</v>
          </cell>
          <cell r="EO12" t="str">
            <v>Que el Congreso decida</v>
          </cell>
          <cell r="EP12">
            <v>6.9343065693430654</v>
          </cell>
          <cell r="EQ12">
            <v>13.084112149532709</v>
          </cell>
          <cell r="ER12">
            <v>10.586734693877551</v>
          </cell>
          <cell r="FA12" t="str">
            <v>Que el Congreso decida</v>
          </cell>
          <cell r="FB12">
            <v>9.5384615384615383</v>
          </cell>
          <cell r="FC12">
            <v>10.985915492957748</v>
          </cell>
          <cell r="FD12">
            <v>10.85383502170767</v>
          </cell>
          <cell r="FW12" t="str">
            <v>Nada (35.1%)</v>
          </cell>
          <cell r="FX12" t="str">
            <v>Poco (36.6%)</v>
          </cell>
          <cell r="FY12" t="str">
            <v>Algo (23.8%)</v>
          </cell>
          <cell r="FZ12" t="str">
            <v>Mucho (4.5%)</v>
          </cell>
        </row>
        <row r="13">
          <cell r="D13" t="str">
            <v>Hombre (47.5%)</v>
          </cell>
          <cell r="E13" t="str">
            <v>Mujer (52.5%)</v>
          </cell>
          <cell r="CK13" t="str">
            <v>Que el Congreso decida</v>
          </cell>
          <cell r="CL13">
            <v>11.343283582089553</v>
          </cell>
          <cell r="CM13">
            <v>10.260336906584993</v>
          </cell>
          <cell r="CN13">
            <v>9.5652173913043477</v>
          </cell>
          <cell r="CO13">
            <v>10.104529616724738</v>
          </cell>
          <cell r="EO13" t="str">
            <v xml:space="preserve">Que la ciudadanía decida </v>
          </cell>
          <cell r="EP13">
            <v>93.065693430656935</v>
          </cell>
          <cell r="EQ13">
            <v>86.915887850467286</v>
          </cell>
          <cell r="ER13">
            <v>89.413265306122454</v>
          </cell>
          <cell r="FA13" t="str">
            <v xml:space="preserve">Que la ciudadanía decida </v>
          </cell>
          <cell r="FB13">
            <v>90.461538461538453</v>
          </cell>
          <cell r="FC13">
            <v>89.014084507042256</v>
          </cell>
          <cell r="FD13">
            <v>89.146164978292333</v>
          </cell>
          <cell r="FV13" t="str">
            <v>Que el Congreso decida</v>
          </cell>
          <cell r="FW13">
            <v>9.6907216494845372</v>
          </cell>
          <cell r="FX13">
            <v>11.660079051383399</v>
          </cell>
          <cell r="FY13">
            <v>10.670731707317072</v>
          </cell>
          <cell r="FZ13">
            <v>6.4516129032258061</v>
          </cell>
        </row>
        <row r="14">
          <cell r="C14" t="str">
            <v>Que el Congreso decida</v>
          </cell>
          <cell r="D14">
            <v>10.876132930513595</v>
          </cell>
          <cell r="E14">
            <v>10.095497953615281</v>
          </cell>
          <cell r="CK14" t="str">
            <v xml:space="preserve">Que la ciudadanía decida </v>
          </cell>
          <cell r="CL14">
            <v>88.656716417910459</v>
          </cell>
          <cell r="CM14">
            <v>89.739663093415004</v>
          </cell>
          <cell r="CN14">
            <v>90.434782608695656</v>
          </cell>
          <cell r="CO14">
            <v>89.895470383275267</v>
          </cell>
          <cell r="CV14" t="str">
            <v>Sí pertenece a algún pueblo (5.5%)</v>
          </cell>
          <cell r="CW14" t="str">
            <v>No pertenece a ningún pueblo (94.5%)</v>
          </cell>
          <cell r="FV14" t="str">
            <v xml:space="preserve">Que la ciudadanía decida </v>
          </cell>
          <cell r="FW14">
            <v>90.30927835051547</v>
          </cell>
          <cell r="FX14">
            <v>88.339920948616594</v>
          </cell>
          <cell r="FY14">
            <v>89.329268292682926</v>
          </cell>
          <cell r="FZ14">
            <v>93.548387096774192</v>
          </cell>
        </row>
        <row r="15">
          <cell r="C15" t="str">
            <v xml:space="preserve">Que la ciudadanía decida </v>
          </cell>
          <cell r="D15">
            <v>89.123867069486408</v>
          </cell>
          <cell r="E15">
            <v>89.904502046384721</v>
          </cell>
          <cell r="CT15" t="str">
            <v>Que el Congreso decida</v>
          </cell>
          <cell r="CV15">
            <v>9.3333333333333339</v>
          </cell>
          <cell r="CW15">
            <v>10.607225211375864</v>
          </cell>
          <cell r="EI15" t="str">
            <v>Sí ha participado (11.4%)</v>
          </cell>
          <cell r="EJ15" t="str">
            <v>No ha participado (88.6%)</v>
          </cell>
        </row>
        <row r="16">
          <cell r="M16" t="str">
            <v>18 a 29 años (26.9%)</v>
          </cell>
          <cell r="N16" t="str">
            <v>30 a 45 años (28.5%)</v>
          </cell>
          <cell r="O16" t="str">
            <v>46 a 60 años (25.2%)</v>
          </cell>
          <cell r="P16" t="str">
            <v>61 años y más (19.5%)</v>
          </cell>
          <cell r="CT16" t="str">
            <v xml:space="preserve">Que la ciudadanía decida </v>
          </cell>
          <cell r="CV16">
            <v>90.666666666666671</v>
          </cell>
          <cell r="CW16">
            <v>89.392774788624138</v>
          </cell>
          <cell r="EH16" t="str">
            <v>Que el Congreso decida</v>
          </cell>
          <cell r="EI16">
            <v>5.7</v>
          </cell>
          <cell r="EJ16">
            <v>11</v>
          </cell>
        </row>
        <row r="17">
          <cell r="L17" t="str">
            <v>Que el Congreso decida</v>
          </cell>
          <cell r="M17">
            <v>8.7999999999999989</v>
          </cell>
          <cell r="N17">
            <v>9.3198992443324933</v>
          </cell>
          <cell r="O17">
            <v>11.396011396011396</v>
          </cell>
          <cell r="P17">
            <v>14.338235294117647</v>
          </cell>
          <cell r="EH17" t="str">
            <v xml:space="preserve">Que la ciudadanía decida </v>
          </cell>
          <cell r="EI17">
            <v>94.3</v>
          </cell>
          <cell r="EJ17">
            <v>89</v>
          </cell>
        </row>
        <row r="18">
          <cell r="L18" t="str">
            <v xml:space="preserve">Que la ciudadanía decida </v>
          </cell>
          <cell r="M18">
            <v>91.2</v>
          </cell>
          <cell r="N18">
            <v>90.680100755667496</v>
          </cell>
          <cell r="O18">
            <v>88.603988603988597</v>
          </cell>
          <cell r="P18">
            <v>85.661764705882348</v>
          </cell>
        </row>
        <row r="19">
          <cell r="DE19" t="str">
            <v>Izquierda (21.7%)</v>
          </cell>
          <cell r="DF19" t="str">
            <v>Centro (64.1%)</v>
          </cell>
          <cell r="DG19" t="str">
            <v>Derecha (14.2%)</v>
          </cell>
        </row>
        <row r="20">
          <cell r="DD20" t="str">
            <v>Que el Congreso decida</v>
          </cell>
          <cell r="DE20">
            <v>7.6595744680851059</v>
          </cell>
          <cell r="DF20">
            <v>11.383285302593659</v>
          </cell>
          <cell r="DG20">
            <v>17.532467532467532</v>
          </cell>
        </row>
        <row r="21">
          <cell r="DD21" t="str">
            <v xml:space="preserve">Que la ciudadanía decida </v>
          </cell>
          <cell r="DE21">
            <v>92.340425531914889</v>
          </cell>
          <cell r="DF21">
            <v>88.616714697406337</v>
          </cell>
          <cell r="DG21">
            <v>82.467532467532465</v>
          </cell>
        </row>
      </sheetData>
      <sheetData sheetId="8">
        <row r="10">
          <cell r="AG10" t="str">
            <v>Simpatiza con algún Partido (15.1%)</v>
          </cell>
          <cell r="AH10" t="str">
            <v>No Simpatiza con algún Partido (84.9%)</v>
          </cell>
        </row>
        <row r="11">
          <cell r="AF11" t="str">
            <v>Que el Congreso decida</v>
          </cell>
          <cell r="AG11">
            <v>16.326530612244898</v>
          </cell>
          <cell r="AH11">
            <v>9.5108695652173907</v>
          </cell>
          <cell r="AW11" t="str">
            <v>Satisfecho con la Democracia (48.2%)</v>
          </cell>
          <cell r="AX11" t="str">
            <v>Insatisfecho con la Democracia (51.8%)</v>
          </cell>
          <cell r="BO11" t="str">
            <v>Buena (5.6%)</v>
          </cell>
          <cell r="BP11" t="str">
            <v>Regular (59.7%)</v>
          </cell>
          <cell r="BQ11" t="str">
            <v>Mala (34.7%)</v>
          </cell>
        </row>
        <row r="12">
          <cell r="AF12" t="str">
            <v>Que la ciudadanía decida</v>
          </cell>
          <cell r="AG12">
            <v>83.673469387755105</v>
          </cell>
          <cell r="AH12">
            <v>90.489130434782609</v>
          </cell>
          <cell r="AV12" t="str">
            <v>Que el Congreso decida</v>
          </cell>
          <cell r="AW12">
            <v>12.37785016286645</v>
          </cell>
          <cell r="AX12">
            <v>10.303030303030303</v>
          </cell>
          <cell r="BN12" t="str">
            <v>Que el Congreso decida</v>
          </cell>
          <cell r="BO12">
            <v>13.888888888888889</v>
          </cell>
          <cell r="BP12">
            <v>10.966057441253264</v>
          </cell>
          <cell r="BQ12">
            <v>11.659192825112108</v>
          </cell>
        </row>
        <row r="13">
          <cell r="AV13" t="str">
            <v>Que la ciudadanía decida</v>
          </cell>
          <cell r="AW13">
            <v>87.622149837133549</v>
          </cell>
          <cell r="AX13">
            <v>89.696969696969703</v>
          </cell>
          <cell r="BN13" t="str">
            <v xml:space="preserve">Que la ciudadanía decida </v>
          </cell>
          <cell r="BO13">
            <v>86.111111111111114</v>
          </cell>
          <cell r="BP13">
            <v>89.03394255874673</v>
          </cell>
          <cell r="BQ13">
            <v>88.340807174887885</v>
          </cell>
        </row>
        <row r="16">
          <cell r="N16" t="str">
            <v>Satisfecho (37.7%)</v>
          </cell>
          <cell r="O16" t="str">
            <v>Insatisfecho (62.3%)</v>
          </cell>
          <cell r="BG16" t="str">
            <v>Buena (5.4%)</v>
          </cell>
          <cell r="BH16" t="str">
            <v>Regular (59.3%)</v>
          </cell>
          <cell r="BI16" t="str">
            <v>Mala (35.3%)</v>
          </cell>
        </row>
        <row r="17">
          <cell r="M17" t="str">
            <v>Que el Congreso decida</v>
          </cell>
          <cell r="N17">
            <v>12.100456621004566</v>
          </cell>
          <cell r="O17">
            <v>9.2413793103448274</v>
          </cell>
          <cell r="Y17" t="str">
            <v>Simpatiza con algún Partido (14.6%)</v>
          </cell>
          <cell r="Z17" t="str">
            <v>No Simpatiza con algún Partido (85.4%)</v>
          </cell>
          <cell r="BF17" t="str">
            <v>Muy de acuerdo</v>
          </cell>
          <cell r="BG17">
            <v>14.285714285714285</v>
          </cell>
          <cell r="BH17">
            <v>18.7012987012987</v>
          </cell>
          <cell r="BI17">
            <v>22.270742358078603</v>
          </cell>
        </row>
        <row r="18">
          <cell r="M18" t="str">
            <v xml:space="preserve">Que la ciudadanía decida </v>
          </cell>
          <cell r="N18">
            <v>87.899543378995432</v>
          </cell>
          <cell r="O18">
            <v>90.758620689655174</v>
          </cell>
          <cell r="X18" t="str">
            <v>Muy de acuerdo</v>
          </cell>
          <cell r="Y18">
            <v>31.088082901554404</v>
          </cell>
          <cell r="Z18">
            <v>17.50663129973475</v>
          </cell>
          <cell r="BF18" t="str">
            <v>De acuerdo</v>
          </cell>
          <cell r="BG18">
            <v>42.857142857142854</v>
          </cell>
          <cell r="BH18">
            <v>51.94805194805194</v>
          </cell>
          <cell r="BI18">
            <v>47.161572052401745</v>
          </cell>
        </row>
        <row r="19">
          <cell r="X19" t="str">
            <v>De acuerdo</v>
          </cell>
          <cell r="Y19">
            <v>45.077720207253883</v>
          </cell>
          <cell r="Z19">
            <v>51.282051282051285</v>
          </cell>
          <cell r="BF19" t="str">
            <v>Ni de acuerdo ni en desacuerdo</v>
          </cell>
          <cell r="BG19">
            <v>25.714285714285712</v>
          </cell>
          <cell r="BH19">
            <v>25.714285714285712</v>
          </cell>
          <cell r="BI19">
            <v>27.074235807860266</v>
          </cell>
        </row>
        <row r="20">
          <cell r="X20" t="str">
            <v>Ni de acuerdo ni en desacuerdo</v>
          </cell>
          <cell r="Y20">
            <v>19.17098445595855</v>
          </cell>
          <cell r="Z20">
            <v>27.409372236958443</v>
          </cell>
          <cell r="BF20" t="str">
            <v>En desacuerdo</v>
          </cell>
          <cell r="BG20">
            <v>11.428571428571429</v>
          </cell>
          <cell r="BH20">
            <v>3.116883116883117</v>
          </cell>
          <cell r="BI20">
            <v>3.0567685589519651</v>
          </cell>
        </row>
        <row r="21">
          <cell r="X21" t="str">
            <v>En desacuerdo</v>
          </cell>
          <cell r="Y21">
            <v>3.6269430051813472</v>
          </cell>
          <cell r="Z21">
            <v>2.8293545534924847</v>
          </cell>
          <cell r="BF21" t="str">
            <v>Muy en desacuerdo</v>
          </cell>
          <cell r="BG21">
            <v>5.7142857142857144</v>
          </cell>
          <cell r="BH21">
            <v>0.51948051948051943</v>
          </cell>
          <cell r="BI21">
            <v>0.43668122270742354</v>
          </cell>
        </row>
        <row r="22">
          <cell r="D22" t="str">
            <v>Satisfecho (38.2%)</v>
          </cell>
          <cell r="E22" t="str">
            <v>Insatisfecho (61.8%)</v>
          </cell>
          <cell r="X22" t="str">
            <v>Muy en desacuerdo</v>
          </cell>
          <cell r="Y22">
            <v>1.0362694300518134</v>
          </cell>
          <cell r="Z22">
            <v>0.9725906277630415</v>
          </cell>
        </row>
        <row r="23">
          <cell r="C23" t="str">
            <v>Muy de acuerdo</v>
          </cell>
          <cell r="D23">
            <v>19.340659340659343</v>
          </cell>
          <cell r="E23">
            <v>18.885869565217391</v>
          </cell>
        </row>
        <row r="24">
          <cell r="C24" t="str">
            <v>De acuerdo</v>
          </cell>
          <cell r="D24">
            <v>45.494505494505496</v>
          </cell>
          <cell r="E24">
            <v>51.902173913043484</v>
          </cell>
          <cell r="AO24" t="str">
            <v>Insatisfecho con la Democracia (48.8%)</v>
          </cell>
          <cell r="AP24" t="str">
            <v>Satisfecho con la Democracia (51.2%)</v>
          </cell>
        </row>
        <row r="25">
          <cell r="C25" t="str">
            <v>Ni de acuerdo ni en desacuerdo</v>
          </cell>
          <cell r="D25">
            <v>31.648351648351646</v>
          </cell>
          <cell r="E25">
            <v>24.456521739130434</v>
          </cell>
          <cell r="AN25" t="str">
            <v>Muy de acuerdo</v>
          </cell>
          <cell r="AO25">
            <v>16.242038216560509</v>
          </cell>
          <cell r="AP25">
            <v>23.030303030303031</v>
          </cell>
        </row>
        <row r="26">
          <cell r="C26" t="str">
            <v>En desacuerdo</v>
          </cell>
          <cell r="D26">
            <v>3.0769230769230771</v>
          </cell>
          <cell r="E26">
            <v>3.3967391304347823</v>
          </cell>
          <cell r="AN26" t="str">
            <v>De acuerdo</v>
          </cell>
          <cell r="AO26">
            <v>53.821656050955411</v>
          </cell>
          <cell r="AP26">
            <v>45.454545454545453</v>
          </cell>
        </row>
        <row r="27">
          <cell r="C27" t="str">
            <v>Muy en desacuerdo</v>
          </cell>
          <cell r="D27">
            <v>0.43956043956043955</v>
          </cell>
          <cell r="E27">
            <v>1.3586956521739131</v>
          </cell>
          <cell r="AN27" t="str">
            <v>Ni de acuerdo ni en desacuerdo</v>
          </cell>
          <cell r="AO27">
            <v>26.751592356687897</v>
          </cell>
          <cell r="AP27">
            <v>26.36363636363636</v>
          </cell>
        </row>
        <row r="28">
          <cell r="AN28" t="str">
            <v>En desacuerdo</v>
          </cell>
          <cell r="AO28">
            <v>2.547770700636943</v>
          </cell>
          <cell r="AP28">
            <v>4.2424242424242431</v>
          </cell>
        </row>
        <row r="29">
          <cell r="AN29" t="str">
            <v>Muy en desacuerdo</v>
          </cell>
          <cell r="AO29">
            <v>0.63694267515923575</v>
          </cell>
          <cell r="AP29">
            <v>0.90909090909090906</v>
          </cell>
        </row>
      </sheetData>
      <sheetData sheetId="9">
        <row r="13">
          <cell r="J13" t="str">
            <v>Hombre (50.4%)</v>
          </cell>
          <cell r="K13" t="str">
            <v>Mujer (49.6%)</v>
          </cell>
          <cell r="P13" t="str">
            <v>18 a 29 años (26.6%)</v>
          </cell>
          <cell r="Q13" t="str">
            <v>30 a 45 años (31.0%)</v>
          </cell>
          <cell r="R13" t="str">
            <v>46 a 60 años (25.2%)</v>
          </cell>
          <cell r="S13" t="str">
            <v>61 años y más (17.2%)</v>
          </cell>
          <cell r="X13" t="str">
            <v>Básica (16.1%)</v>
          </cell>
          <cell r="Y13" t="str">
            <v>Media (48.5%)</v>
          </cell>
          <cell r="Z13" t="str">
            <v>Técnica Sup. (16.5%)</v>
          </cell>
          <cell r="AA13" t="str">
            <v>Universitaria (18.9%)</v>
          </cell>
          <cell r="AM13" t="str">
            <v>Sí Pertenece (5.8%)</v>
          </cell>
          <cell r="AN13" t="str">
            <v>No Pertenece (94.2%)</v>
          </cell>
          <cell r="AY13" t="str">
            <v>Izquierda (15.0%)</v>
          </cell>
          <cell r="AZ13" t="str">
            <v>Centro (48.3%)</v>
          </cell>
          <cell r="BA13" t="str">
            <v>Derecha (9.2%)</v>
          </cell>
          <cell r="BB13" t="str">
            <v>Ninguno (27.4%)</v>
          </cell>
          <cell r="BX13" t="str">
            <v>Sí Simpatiza (23.2%)</v>
          </cell>
          <cell r="BY13" t="str">
            <v>No Simpatiza (76.8%)</v>
          </cell>
          <cell r="CO13" t="str">
            <v>Nada (41.3%)</v>
          </cell>
          <cell r="CP13" t="str">
            <v>Poco (30.2%)</v>
          </cell>
          <cell r="CQ13" t="str">
            <v>Algo (19.2%)</v>
          </cell>
          <cell r="CR13" t="str">
            <v>Mucho (9.3%)</v>
          </cell>
          <cell r="CY13" t="str">
            <v>Apoya Gratuidad Total (43.9%)</v>
          </cell>
          <cell r="CZ13" t="str">
            <v>Apoya Gratuidad para Pobres (56.1%)</v>
          </cell>
          <cell r="DG13" t="str">
            <v>Acepta Lucro en Educación (35.3%)</v>
          </cell>
          <cell r="DH13" t="str">
            <v>Rechaza Lucro en Educación (64.7%)</v>
          </cell>
        </row>
        <row r="14">
          <cell r="B14" t="str">
            <v>Nada Importante</v>
          </cell>
          <cell r="C14">
            <v>2.4056141969090876</v>
          </cell>
          <cell r="I14" t="str">
            <v>Nada Importante</v>
          </cell>
          <cell r="J14">
            <v>3.0852994555353903</v>
          </cell>
          <cell r="K14">
            <v>1.8450184501845019</v>
          </cell>
          <cell r="O14" t="str">
            <v>Nada Importante</v>
          </cell>
          <cell r="P14">
            <v>1.3745704467353952</v>
          </cell>
          <cell r="Q14">
            <v>2.9498525073746311</v>
          </cell>
          <cell r="R14">
            <v>2.5362318840579712</v>
          </cell>
          <cell r="S14">
            <v>2.6595744680851063</v>
          </cell>
          <cell r="W14" t="str">
            <v>Nada Importante</v>
          </cell>
          <cell r="X14">
            <v>2.2857142857142856</v>
          </cell>
          <cell r="Y14">
            <v>2.4621212121212119</v>
          </cell>
          <cell r="Z14">
            <v>2.7932960893854748</v>
          </cell>
          <cell r="AA14">
            <v>2.4271844660194173</v>
          </cell>
          <cell r="AL14" t="str">
            <v>Nada Importante</v>
          </cell>
          <cell r="AM14">
            <v>2.4248302618816679</v>
          </cell>
          <cell r="AN14">
            <v>3.1746031746031744</v>
          </cell>
          <cell r="AX14" t="str">
            <v>Nada Importante</v>
          </cell>
          <cell r="AY14">
            <v>0</v>
          </cell>
          <cell r="AZ14">
            <v>0.94696969696969702</v>
          </cell>
          <cell r="BA14">
            <v>3.9603960396039604</v>
          </cell>
          <cell r="BB14">
            <v>5.666666666666667</v>
          </cell>
          <cell r="BW14" t="str">
            <v>Nada Importante</v>
          </cell>
          <cell r="BX14">
            <v>1.2295081967213115</v>
          </cell>
          <cell r="BY14">
            <v>2.7295285359801489</v>
          </cell>
          <cell r="CN14" t="str">
            <v>Nada Importante</v>
          </cell>
          <cell r="CO14">
            <v>3.9911308203991127</v>
          </cell>
          <cell r="CP14">
            <v>1.5151515151515151</v>
          </cell>
          <cell r="CQ14">
            <v>0.9569377990430622</v>
          </cell>
          <cell r="CR14">
            <v>1.9801980198019802</v>
          </cell>
          <cell r="CX14" t="str">
            <v>Nada Importante</v>
          </cell>
          <cell r="CY14">
            <v>3.1847133757961785</v>
          </cell>
          <cell r="CZ14">
            <v>1.6638935108153079</v>
          </cell>
          <cell r="DF14" t="str">
            <v>Nada Importante</v>
          </cell>
          <cell r="DG14">
            <v>3.6011080332409975</v>
          </cell>
          <cell r="DH14">
            <v>1.6641452344931922</v>
          </cell>
        </row>
        <row r="15">
          <cell r="B15">
            <v>2</v>
          </cell>
          <cell r="C15">
            <v>0.88911011529379558</v>
          </cell>
          <cell r="I15">
            <v>2</v>
          </cell>
          <cell r="J15">
            <v>0.90744101633393826</v>
          </cell>
          <cell r="K15">
            <v>0.92250922509225097</v>
          </cell>
          <cell r="O15">
            <v>2</v>
          </cell>
          <cell r="P15">
            <v>0</v>
          </cell>
          <cell r="Q15">
            <v>0.88495575221238942</v>
          </cell>
          <cell r="R15">
            <v>1.4492753623188406</v>
          </cell>
          <cell r="S15">
            <v>1.5957446808510638</v>
          </cell>
          <cell r="W15">
            <v>2</v>
          </cell>
          <cell r="X15">
            <v>1.1428571428571428</v>
          </cell>
          <cell r="Y15">
            <v>0.94696969696969702</v>
          </cell>
          <cell r="Z15">
            <v>1.1173184357541899</v>
          </cell>
          <cell r="AA15">
            <v>0.48543689320388345</v>
          </cell>
          <cell r="AL15">
            <v>2</v>
          </cell>
          <cell r="AM15">
            <v>0.96993210475266745</v>
          </cell>
          <cell r="AN15">
            <v>0</v>
          </cell>
          <cell r="AX15">
            <v>2</v>
          </cell>
          <cell r="AY15">
            <v>1.2195121951219512</v>
          </cell>
          <cell r="AZ15">
            <v>1.3257575757575757</v>
          </cell>
          <cell r="BA15">
            <v>0.99009900990099009</v>
          </cell>
          <cell r="BB15">
            <v>0.33333333333333331</v>
          </cell>
          <cell r="BW15">
            <v>2</v>
          </cell>
          <cell r="BX15">
            <v>2.0491803278688523</v>
          </cell>
          <cell r="BY15">
            <v>0.62034739454094301</v>
          </cell>
          <cell r="CN15">
            <v>2</v>
          </cell>
          <cell r="CO15">
            <v>0.66518847006651882</v>
          </cell>
          <cell r="CP15">
            <v>1.5151515151515151</v>
          </cell>
          <cell r="CQ15">
            <v>0.4784688995215311</v>
          </cell>
          <cell r="CR15">
            <v>0.99009900990099009</v>
          </cell>
          <cell r="CX15">
            <v>2</v>
          </cell>
          <cell r="CY15">
            <v>0.63694267515923564</v>
          </cell>
          <cell r="CZ15">
            <v>0.99833610648918469</v>
          </cell>
          <cell r="DF15">
            <v>2</v>
          </cell>
          <cell r="DG15">
            <v>0.8310249307479225</v>
          </cell>
          <cell r="DH15">
            <v>0.90771558245083206</v>
          </cell>
        </row>
        <row r="16">
          <cell r="B16">
            <v>3</v>
          </cell>
          <cell r="C16">
            <v>4.0880919938047731</v>
          </cell>
          <cell r="I16">
            <v>3</v>
          </cell>
          <cell r="J16">
            <v>3.9927404718693285</v>
          </cell>
          <cell r="K16">
            <v>4.0590405904059041</v>
          </cell>
          <cell r="O16">
            <v>3</v>
          </cell>
          <cell r="P16">
            <v>4.1237113402061851</v>
          </cell>
          <cell r="Q16">
            <v>3.8348082595870205</v>
          </cell>
          <cell r="R16">
            <v>4.3478260869565215</v>
          </cell>
          <cell r="S16">
            <v>4.2553191489361701</v>
          </cell>
          <cell r="W16">
            <v>3</v>
          </cell>
          <cell r="X16">
            <v>4.5714285714285712</v>
          </cell>
          <cell r="Y16">
            <v>3.5984848484848486</v>
          </cell>
          <cell r="Z16">
            <v>6.1452513966480442</v>
          </cell>
          <cell r="AA16">
            <v>2.912621359223301</v>
          </cell>
          <cell r="AL16">
            <v>3</v>
          </cell>
          <cell r="AM16">
            <v>4.1707080504364695</v>
          </cell>
          <cell r="AN16">
            <v>1.5873015873015872</v>
          </cell>
          <cell r="AX16">
            <v>3</v>
          </cell>
          <cell r="AY16">
            <v>3.0487804878048781</v>
          </cell>
          <cell r="AZ16">
            <v>5.1136363636363642</v>
          </cell>
          <cell r="BA16">
            <v>5.9405940594059405</v>
          </cell>
          <cell r="BB16">
            <v>1.6666666666666667</v>
          </cell>
          <cell r="BW16">
            <v>3</v>
          </cell>
          <cell r="BX16">
            <v>3.278688524590164</v>
          </cell>
          <cell r="BY16">
            <v>4.5905707196029777</v>
          </cell>
          <cell r="CN16">
            <v>3</v>
          </cell>
          <cell r="CO16">
            <v>3.9911308203991127</v>
          </cell>
          <cell r="CP16">
            <v>3.3333333333333335</v>
          </cell>
          <cell r="CQ16">
            <v>6.6985645933014357</v>
          </cell>
          <cell r="CR16">
            <v>1.9801980198019802</v>
          </cell>
          <cell r="CX16">
            <v>3</v>
          </cell>
          <cell r="CY16">
            <v>2.5477707006369426</v>
          </cell>
          <cell r="CZ16">
            <v>5.3244592346089847</v>
          </cell>
          <cell r="DF16">
            <v>3</v>
          </cell>
          <cell r="DG16">
            <v>2.21606648199446</v>
          </cell>
          <cell r="DH16">
            <v>5.2950075642965198</v>
          </cell>
        </row>
        <row r="17">
          <cell r="B17">
            <v>4</v>
          </cell>
          <cell r="C17">
            <v>14.154617720927664</v>
          </cell>
          <cell r="I17">
            <v>4</v>
          </cell>
          <cell r="J17">
            <v>12.159709618874773</v>
          </cell>
          <cell r="K17">
            <v>16.051660516605168</v>
          </cell>
          <cell r="O17">
            <v>4</v>
          </cell>
          <cell r="P17">
            <v>14.776632302405499</v>
          </cell>
          <cell r="Q17">
            <v>17.10914454277286</v>
          </cell>
          <cell r="R17">
            <v>11.956521739130435</v>
          </cell>
          <cell r="S17">
            <v>10.638297872340425</v>
          </cell>
          <cell r="W17">
            <v>4</v>
          </cell>
          <cell r="X17">
            <v>14.857142857142858</v>
          </cell>
          <cell r="Y17">
            <v>15.151515151515152</v>
          </cell>
          <cell r="Z17">
            <v>13.966480446927374</v>
          </cell>
          <cell r="AA17">
            <v>11.165048543689322</v>
          </cell>
          <cell r="AL17">
            <v>4</v>
          </cell>
          <cell r="AM17">
            <v>14.161008729388943</v>
          </cell>
          <cell r="AN17">
            <v>12.698412698412698</v>
          </cell>
          <cell r="AX17">
            <v>4</v>
          </cell>
          <cell r="AY17">
            <v>9.7560975609756095</v>
          </cell>
          <cell r="AZ17">
            <v>17.424242424242426</v>
          </cell>
          <cell r="BA17">
            <v>10.891089108910892</v>
          </cell>
          <cell r="BB17">
            <v>11.666666666666666</v>
          </cell>
          <cell r="BW17">
            <v>4</v>
          </cell>
          <cell r="BX17">
            <v>12.295081967213115</v>
          </cell>
          <cell r="BY17">
            <v>15.012406947890819</v>
          </cell>
          <cell r="CN17">
            <v>4</v>
          </cell>
          <cell r="CO17">
            <v>12.195121951219512</v>
          </cell>
          <cell r="CP17">
            <v>16.666666666666664</v>
          </cell>
          <cell r="CQ17">
            <v>15.789473684210526</v>
          </cell>
          <cell r="CR17">
            <v>9.9009900990099009</v>
          </cell>
          <cell r="CX17">
            <v>4</v>
          </cell>
          <cell r="CY17">
            <v>12.526539278131635</v>
          </cell>
          <cell r="CZ17">
            <v>15.307820299500833</v>
          </cell>
          <cell r="DF17">
            <v>4</v>
          </cell>
          <cell r="DG17">
            <v>14.40443213296399</v>
          </cell>
          <cell r="DH17">
            <v>14.069591527987896</v>
          </cell>
        </row>
        <row r="18">
          <cell r="B18">
            <v>5</v>
          </cell>
          <cell r="C18">
            <v>24.354255758441958</v>
          </cell>
          <cell r="I18">
            <v>5</v>
          </cell>
          <cell r="J18">
            <v>24.319419237749546</v>
          </cell>
          <cell r="K18">
            <v>24.354243542435423</v>
          </cell>
          <cell r="O18">
            <v>5</v>
          </cell>
          <cell r="P18">
            <v>20.274914089347078</v>
          </cell>
          <cell r="Q18">
            <v>23.008849557522122</v>
          </cell>
          <cell r="R18">
            <v>26.086956521739129</v>
          </cell>
          <cell r="S18">
            <v>30.851063829787233</v>
          </cell>
          <cell r="W18">
            <v>5</v>
          </cell>
          <cell r="X18">
            <v>28.000000000000004</v>
          </cell>
          <cell r="Y18">
            <v>25.189393939393938</v>
          </cell>
          <cell r="Z18">
            <v>23.463687150837988</v>
          </cell>
          <cell r="AA18">
            <v>19.902912621359224</v>
          </cell>
          <cell r="AL18">
            <v>5</v>
          </cell>
          <cell r="AM18">
            <v>24.636275460717748</v>
          </cell>
          <cell r="AN18">
            <v>20.634920634920633</v>
          </cell>
          <cell r="AX18">
            <v>5</v>
          </cell>
          <cell r="AY18">
            <v>23.780487804878049</v>
          </cell>
          <cell r="AZ18">
            <v>21.780303030303031</v>
          </cell>
          <cell r="BA18">
            <v>23.762376237623762</v>
          </cell>
          <cell r="BB18">
            <v>29.666666666666668</v>
          </cell>
          <cell r="BW18">
            <v>5</v>
          </cell>
          <cell r="BX18">
            <v>15.573770491803279</v>
          </cell>
          <cell r="BY18">
            <v>26.674937965260547</v>
          </cell>
          <cell r="CN18">
            <v>5</v>
          </cell>
          <cell r="CO18">
            <v>23.725055432372503</v>
          </cell>
          <cell r="CP18">
            <v>25.757575757575758</v>
          </cell>
          <cell r="CQ18">
            <v>24.880382775119617</v>
          </cell>
          <cell r="CR18">
            <v>19.801980198019802</v>
          </cell>
          <cell r="CX18">
            <v>5</v>
          </cell>
          <cell r="CY18">
            <v>24.203821656050955</v>
          </cell>
          <cell r="CZ18">
            <v>24.625623960066555</v>
          </cell>
          <cell r="DF18">
            <v>5</v>
          </cell>
          <cell r="DG18">
            <v>24.37673130193906</v>
          </cell>
          <cell r="DH18">
            <v>23.29803328290469</v>
          </cell>
        </row>
        <row r="19">
          <cell r="B19">
            <v>6</v>
          </cell>
          <cell r="C19">
            <v>25.981918250221696</v>
          </cell>
          <cell r="I19">
            <v>6</v>
          </cell>
          <cell r="J19">
            <v>25.045372050816695</v>
          </cell>
          <cell r="K19">
            <v>26.937269372693727</v>
          </cell>
          <cell r="O19">
            <v>6</v>
          </cell>
          <cell r="P19">
            <v>31.27147766323024</v>
          </cell>
          <cell r="Q19">
            <v>24.188790560471976</v>
          </cell>
          <cell r="R19">
            <v>23.913043478260871</v>
          </cell>
          <cell r="S19">
            <v>23.936170212765958</v>
          </cell>
          <cell r="W19">
            <v>6</v>
          </cell>
          <cell r="X19">
            <v>24.571428571428573</v>
          </cell>
          <cell r="Y19">
            <v>22.916666666666664</v>
          </cell>
          <cell r="Z19">
            <v>29.608938547486037</v>
          </cell>
          <cell r="AA19">
            <v>31.067961165048541</v>
          </cell>
          <cell r="AL19">
            <v>6</v>
          </cell>
          <cell r="AM19">
            <v>26.091173617846753</v>
          </cell>
          <cell r="AN19">
            <v>23.809523809523807</v>
          </cell>
          <cell r="AX19">
            <v>6</v>
          </cell>
          <cell r="AY19">
            <v>18.902439024390244</v>
          </cell>
          <cell r="AZ19">
            <v>26.893939393939391</v>
          </cell>
          <cell r="BA19">
            <v>31.683168316831683</v>
          </cell>
          <cell r="BB19">
            <v>26.333333333333332</v>
          </cell>
          <cell r="BW19">
            <v>6</v>
          </cell>
          <cell r="BX19">
            <v>31.967213114754102</v>
          </cell>
          <cell r="BY19">
            <v>24.565756823821339</v>
          </cell>
          <cell r="CN19">
            <v>6</v>
          </cell>
          <cell r="CO19">
            <v>25.055432372505543</v>
          </cell>
          <cell r="CP19">
            <v>26.666666666666668</v>
          </cell>
          <cell r="CQ19">
            <v>28.708133971291865</v>
          </cell>
          <cell r="CR19">
            <v>21.782178217821784</v>
          </cell>
          <cell r="CX19">
            <v>6</v>
          </cell>
          <cell r="CY19">
            <v>24.203821656050955</v>
          </cell>
          <cell r="CZ19">
            <v>27.787021630615641</v>
          </cell>
          <cell r="DF19">
            <v>6</v>
          </cell>
          <cell r="DG19">
            <v>24.930747922437675</v>
          </cell>
          <cell r="DH19">
            <v>26.021180030257185</v>
          </cell>
        </row>
        <row r="20">
          <cell r="B20" t="str">
            <v>Muy Importante</v>
          </cell>
          <cell r="C20">
            <v>28.126391964401019</v>
          </cell>
          <cell r="I20" t="str">
            <v>Muy Importante</v>
          </cell>
          <cell r="J20">
            <v>30.490018148820326</v>
          </cell>
          <cell r="K20">
            <v>25.830258302583026</v>
          </cell>
          <cell r="O20" t="str">
            <v>Muy Importante</v>
          </cell>
          <cell r="P20">
            <v>28.178694158075601</v>
          </cell>
          <cell r="Q20">
            <v>28.023598820058996</v>
          </cell>
          <cell r="R20">
            <v>29.710144927536231</v>
          </cell>
          <cell r="S20">
            <v>26.063829787234045</v>
          </cell>
          <cell r="W20" t="str">
            <v>Muy Importante</v>
          </cell>
          <cell r="X20">
            <v>24.571428571428573</v>
          </cell>
          <cell r="Y20">
            <v>29.734848484848484</v>
          </cell>
          <cell r="Z20">
            <v>22.905027932960895</v>
          </cell>
          <cell r="AA20">
            <v>32.038834951456316</v>
          </cell>
          <cell r="AL20" t="str">
            <v>Muy Importante</v>
          </cell>
          <cell r="AM20">
            <v>27.546071774975751</v>
          </cell>
          <cell r="AN20">
            <v>38.095238095238095</v>
          </cell>
          <cell r="AX20" t="str">
            <v>Muy Importante</v>
          </cell>
          <cell r="AY20">
            <v>43.292682926829265</v>
          </cell>
          <cell r="AZ20">
            <v>26.515151515151516</v>
          </cell>
          <cell r="BA20">
            <v>22.772277227722775</v>
          </cell>
          <cell r="BB20">
            <v>24.666666666666668</v>
          </cell>
          <cell r="BW20" t="str">
            <v>Muy Importante</v>
          </cell>
          <cell r="BX20">
            <v>33.606557377049178</v>
          </cell>
          <cell r="BY20">
            <v>25.806451612903224</v>
          </cell>
          <cell r="CN20" t="str">
            <v>Muy Importante</v>
          </cell>
          <cell r="CO20">
            <v>30.376940133037696</v>
          </cell>
          <cell r="CP20">
            <v>24.545454545454547</v>
          </cell>
          <cell r="CQ20">
            <v>22.488038277511961</v>
          </cell>
          <cell r="CR20">
            <v>43.564356435643568</v>
          </cell>
          <cell r="CX20" t="str">
            <v>Muy Importante</v>
          </cell>
          <cell r="CY20">
            <v>32.696390658174096</v>
          </cell>
          <cell r="CZ20">
            <v>24.292845257903494</v>
          </cell>
          <cell r="DF20" t="str">
            <v>Muy Importante</v>
          </cell>
          <cell r="DG20">
            <v>29.639889196675899</v>
          </cell>
          <cell r="DH20">
            <v>28.744326777609679</v>
          </cell>
        </row>
      </sheetData>
      <sheetData sheetId="10">
        <row r="12">
          <cell r="J12" t="str">
            <v>Hombre (48.9%)</v>
          </cell>
          <cell r="K12" t="str">
            <v>Mujer (51.1%)</v>
          </cell>
          <cell r="P12" t="str">
            <v>18 a 29 años (27.0%)</v>
          </cell>
          <cell r="Q12" t="str">
            <v>30 a 45 años (30.3%)</v>
          </cell>
          <cell r="R12" t="str">
            <v>46 a 60 años (24.5%)</v>
          </cell>
          <cell r="S12" t="str">
            <v>61 años y más (18.1%)</v>
          </cell>
          <cell r="CP12" t="str">
            <v>Básica (24.4%)</v>
          </cell>
          <cell r="CQ12" t="str">
            <v>Media (46.8%)</v>
          </cell>
          <cell r="CR12" t="str">
            <v>Técnica Sup. (13.5%)</v>
          </cell>
          <cell r="CS12" t="str">
            <v>Universitaria (16.2%)</v>
          </cell>
          <cell r="DE12" t="str">
            <v>Sí Pertenece (6.1%)</v>
          </cell>
          <cell r="DF12" t="str">
            <v>No Pertenece (93.9%)</v>
          </cell>
          <cell r="DR12" t="str">
            <v>Izquierda (15.3%)</v>
          </cell>
          <cell r="DS12" t="str">
            <v>Centro (48.9%)</v>
          </cell>
          <cell r="DT12" t="str">
            <v>Derecha (10.2%)</v>
          </cell>
          <cell r="DU12" t="str">
            <v>NS/NR (25.3%)</v>
          </cell>
          <cell r="EU12" t="str">
            <v>Sí Simpatiza (32.4%)</v>
          </cell>
          <cell r="EV12" t="str">
            <v>No Simpatiza (67.6%)</v>
          </cell>
        </row>
        <row r="13">
          <cell r="B13" t="str">
            <v>De Acuerdo</v>
          </cell>
          <cell r="C13">
            <v>44.71400382777275</v>
          </cell>
          <cell r="I13" t="str">
            <v>De Acuerdo</v>
          </cell>
          <cell r="J13">
            <v>48.863636363636367</v>
          </cell>
          <cell r="K13">
            <v>40.654843110504778</v>
          </cell>
          <cell r="O13" t="str">
            <v>De Acuerdo</v>
          </cell>
          <cell r="P13">
            <v>47.286821705426355</v>
          </cell>
          <cell r="Q13">
            <v>45.161290322580648</v>
          </cell>
          <cell r="R13">
            <v>46.875</v>
          </cell>
          <cell r="S13">
            <v>38.07692307692308</v>
          </cell>
          <cell r="CO13" t="str">
            <v>De Acuerdo</v>
          </cell>
          <cell r="CP13">
            <v>34.226190476190474</v>
          </cell>
          <cell r="CQ13">
            <v>45.007451564828614</v>
          </cell>
          <cell r="CR13">
            <v>44.845360824742265</v>
          </cell>
          <cell r="CS13">
            <v>59.656652360515018</v>
          </cell>
          <cell r="DD13" t="str">
            <v>De Acuerdo</v>
          </cell>
          <cell r="DE13">
            <v>29.545454545454547</v>
          </cell>
          <cell r="DF13">
            <v>45.771513353115729</v>
          </cell>
          <cell r="DQ13" t="str">
            <v>De Acuerdo</v>
          </cell>
          <cell r="DR13">
            <v>61.818181818181813</v>
          </cell>
          <cell r="DS13">
            <v>48.86685552407932</v>
          </cell>
          <cell r="DT13">
            <v>40.816326530612244</v>
          </cell>
          <cell r="DU13">
            <v>28.021978021978022</v>
          </cell>
          <cell r="ET13" t="str">
            <v>De Acuerdo</v>
          </cell>
          <cell r="EU13">
            <v>55.217391304347828</v>
          </cell>
          <cell r="EV13">
            <v>39.958376690946928</v>
          </cell>
        </row>
        <row r="14">
          <cell r="B14" t="str">
            <v>En  Desacuerdo</v>
          </cell>
          <cell r="C14">
            <v>21.459852006653577</v>
          </cell>
          <cell r="I14" t="str">
            <v>En  Desacuerdo</v>
          </cell>
          <cell r="J14">
            <v>22.869318181818183</v>
          </cell>
          <cell r="K14">
            <v>20.190995907230558</v>
          </cell>
          <cell r="O14" t="str">
            <v>En  Desacuerdo</v>
          </cell>
          <cell r="P14">
            <v>25.581395348837209</v>
          </cell>
          <cell r="Q14">
            <v>22.8110599078341</v>
          </cell>
          <cell r="R14">
            <v>18.46590909090909</v>
          </cell>
          <cell r="S14">
            <v>17.692307692307693</v>
          </cell>
          <cell r="CO14" t="str">
            <v>En  Desacuerdo</v>
          </cell>
          <cell r="CP14">
            <v>17.261904761904763</v>
          </cell>
          <cell r="CQ14">
            <v>20.417287630402384</v>
          </cell>
          <cell r="CR14">
            <v>30.927835051546392</v>
          </cell>
          <cell r="CS14">
            <v>22.317596566523605</v>
          </cell>
          <cell r="DD14" t="str">
            <v>En  Desacuerdo</v>
          </cell>
          <cell r="DE14">
            <v>29.545454545454547</v>
          </cell>
          <cell r="DF14">
            <v>20.919881305637983</v>
          </cell>
          <cell r="DQ14" t="str">
            <v>En  Desacuerdo</v>
          </cell>
          <cell r="DR14">
            <v>18.181818181818183</v>
          </cell>
          <cell r="DS14">
            <v>21.813031161473088</v>
          </cell>
          <cell r="DT14">
            <v>33.333333333333336</v>
          </cell>
          <cell r="DU14">
            <v>17.857142857142858</v>
          </cell>
          <cell r="ET14" t="str">
            <v>En  Desacuerdo</v>
          </cell>
          <cell r="EU14">
            <v>22.391304347826086</v>
          </cell>
          <cell r="EV14">
            <v>21.019771071800207</v>
          </cell>
        </row>
        <row r="15">
          <cell r="B15" t="str">
            <v>NS/NR</v>
          </cell>
          <cell r="C15">
            <v>33.826144165573666</v>
          </cell>
          <cell r="I15" t="str">
            <v>NS/NR</v>
          </cell>
          <cell r="J15">
            <v>28.267045454545453</v>
          </cell>
          <cell r="K15">
            <v>39.154160982264663</v>
          </cell>
          <cell r="O15" t="str">
            <v>NS/NR</v>
          </cell>
          <cell r="P15">
            <v>27.131782945736433</v>
          </cell>
          <cell r="Q15">
            <v>32.027649769585253</v>
          </cell>
          <cell r="R15">
            <v>34.659090909090907</v>
          </cell>
          <cell r="S15">
            <v>44.230769230769234</v>
          </cell>
          <cell r="CO15" t="str">
            <v>NS/NR</v>
          </cell>
          <cell r="CP15">
            <v>48.511904761904759</v>
          </cell>
          <cell r="CQ15">
            <v>34.575260804769002</v>
          </cell>
          <cell r="CR15">
            <v>24.226804123711339</v>
          </cell>
          <cell r="CS15">
            <v>18.025751072961373</v>
          </cell>
          <cell r="DD15" t="str">
            <v>NS/NR</v>
          </cell>
          <cell r="DE15">
            <v>40.909090909090907</v>
          </cell>
          <cell r="DF15">
            <v>33.308605341246292</v>
          </cell>
          <cell r="DQ15" t="str">
            <v>NS/NR</v>
          </cell>
          <cell r="DR15">
            <v>20</v>
          </cell>
          <cell r="DS15">
            <v>29.320113314447593</v>
          </cell>
          <cell r="DT15">
            <v>25.85034013605442</v>
          </cell>
          <cell r="DU15">
            <v>54.120879120879124</v>
          </cell>
          <cell r="ET15" t="str">
            <v>NS/NR</v>
          </cell>
          <cell r="EU15">
            <v>22.391304347826086</v>
          </cell>
          <cell r="EV15">
            <v>39.021852237252858</v>
          </cell>
        </row>
      </sheetData>
      <sheetData sheetId="1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1"/>
  <sheetViews>
    <sheetView workbookViewId="0">
      <selection activeCell="B13" sqref="B13"/>
    </sheetView>
  </sheetViews>
  <sheetFormatPr baseColWidth="10" defaultRowHeight="14" x14ac:dyDescent="0"/>
  <sheetData>
    <row r="1" spans="2:7">
      <c r="B1" s="1" t="s">
        <v>0</v>
      </c>
      <c r="C1" s="2" t="s">
        <v>1</v>
      </c>
      <c r="D1" s="1" t="s">
        <v>2</v>
      </c>
      <c r="E1" s="2" t="s">
        <v>3</v>
      </c>
      <c r="F1" s="1" t="s">
        <v>4</v>
      </c>
      <c r="G1" s="2" t="s">
        <v>5</v>
      </c>
    </row>
    <row r="2" spans="2:7">
      <c r="B2" s="1" t="s">
        <v>6</v>
      </c>
      <c r="C2" s="2">
        <v>1995</v>
      </c>
      <c r="D2" s="1" t="s">
        <v>7</v>
      </c>
      <c r="E2" s="2">
        <v>63</v>
      </c>
      <c r="F2" s="2">
        <v>20</v>
      </c>
      <c r="G2" s="2">
        <v>16</v>
      </c>
    </row>
    <row r="3" spans="2:7">
      <c r="B3" s="1" t="s">
        <v>8</v>
      </c>
      <c r="C3" s="2">
        <v>2000</v>
      </c>
      <c r="D3" s="1" t="s">
        <v>9</v>
      </c>
      <c r="E3" s="2">
        <v>58</v>
      </c>
      <c r="F3" s="2">
        <v>26</v>
      </c>
      <c r="G3" s="2">
        <v>15</v>
      </c>
    </row>
    <row r="4" spans="2:7">
      <c r="B4" s="1" t="s">
        <v>10</v>
      </c>
      <c r="C4" s="2">
        <v>2002</v>
      </c>
      <c r="D4" s="1" t="s">
        <v>11</v>
      </c>
      <c r="E4" s="2">
        <v>61</v>
      </c>
      <c r="F4" s="2">
        <v>16</v>
      </c>
      <c r="G4" s="2">
        <v>23</v>
      </c>
    </row>
    <row r="5" spans="2:7">
      <c r="B5" s="1" t="s">
        <v>12</v>
      </c>
      <c r="C5" s="2">
        <v>2009</v>
      </c>
      <c r="D5" s="1" t="s">
        <v>13</v>
      </c>
      <c r="E5" s="2">
        <v>48</v>
      </c>
      <c r="F5" s="2">
        <v>13</v>
      </c>
      <c r="G5" s="2">
        <v>39</v>
      </c>
    </row>
    <row r="6" spans="2:7">
      <c r="B6" s="1" t="s">
        <v>14</v>
      </c>
      <c r="C6" s="2">
        <v>2011</v>
      </c>
      <c r="D6" s="1" t="s">
        <v>15</v>
      </c>
      <c r="E6" s="2">
        <v>75</v>
      </c>
      <c r="F6" s="2">
        <v>9</v>
      </c>
      <c r="G6" s="2">
        <v>17</v>
      </c>
    </row>
    <row r="7" spans="2:7">
      <c r="B7" s="3"/>
    </row>
    <row r="8" spans="2:7">
      <c r="B8" s="1" t="s">
        <v>2</v>
      </c>
      <c r="C8" s="1" t="s">
        <v>7</v>
      </c>
      <c r="D8" s="1" t="s">
        <v>9</v>
      </c>
      <c r="E8" s="1" t="s">
        <v>11</v>
      </c>
      <c r="F8" s="1" t="s">
        <v>13</v>
      </c>
      <c r="G8" s="1" t="s">
        <v>15</v>
      </c>
    </row>
    <row r="9" spans="2:7">
      <c r="B9" s="2" t="s">
        <v>3</v>
      </c>
      <c r="C9" s="2">
        <v>63</v>
      </c>
      <c r="D9" s="2">
        <v>58</v>
      </c>
      <c r="E9" s="2">
        <v>61</v>
      </c>
      <c r="F9" s="2">
        <v>48</v>
      </c>
      <c r="G9" s="2">
        <v>75</v>
      </c>
    </row>
    <row r="10" spans="2:7">
      <c r="B10" s="1" t="s">
        <v>4</v>
      </c>
      <c r="C10" s="2">
        <v>20</v>
      </c>
      <c r="D10" s="2">
        <v>26</v>
      </c>
      <c r="E10" s="2">
        <v>16</v>
      </c>
      <c r="F10" s="2">
        <v>13</v>
      </c>
      <c r="G10" s="2">
        <v>9</v>
      </c>
    </row>
    <row r="11" spans="2:7">
      <c r="B11" s="2" t="s">
        <v>5</v>
      </c>
      <c r="C11" s="2">
        <v>16</v>
      </c>
      <c r="D11" s="2">
        <v>15</v>
      </c>
      <c r="E11" s="2">
        <v>23</v>
      </c>
      <c r="F11" s="2">
        <v>39</v>
      </c>
      <c r="G11" s="2">
        <v>17</v>
      </c>
    </row>
  </sheetData>
  <pageMargins left="0.7" right="0.7" top="0.75" bottom="0.75" header="0.3" footer="0.3"/>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53"/>
  <sheetViews>
    <sheetView workbookViewId="0">
      <selection activeCell="I12" sqref="I12"/>
    </sheetView>
  </sheetViews>
  <sheetFormatPr baseColWidth="10" defaultRowHeight="14" x14ac:dyDescent="0"/>
  <sheetData>
    <row r="1" spans="2:10">
      <c r="B1" s="4" t="s">
        <v>16</v>
      </c>
      <c r="C1" s="5" t="s">
        <v>17</v>
      </c>
      <c r="D1" s="4" t="s">
        <v>1</v>
      </c>
      <c r="E1" s="5" t="s">
        <v>18</v>
      </c>
      <c r="F1" s="5" t="s">
        <v>2</v>
      </c>
      <c r="G1" s="4" t="s">
        <v>19</v>
      </c>
      <c r="I1" t="s">
        <v>0</v>
      </c>
    </row>
    <row r="2" spans="2:10">
      <c r="B2" s="4"/>
      <c r="C2" s="5" t="s">
        <v>20</v>
      </c>
      <c r="D2" s="4">
        <v>1996</v>
      </c>
      <c r="E2" s="5" t="s">
        <v>21</v>
      </c>
      <c r="F2" s="5" t="s">
        <v>22</v>
      </c>
      <c r="G2" s="4">
        <v>2.2999999999999998</v>
      </c>
      <c r="I2" t="s">
        <v>23</v>
      </c>
      <c r="J2" s="3" t="s">
        <v>24</v>
      </c>
    </row>
    <row r="3" spans="2:10">
      <c r="B3" s="4"/>
      <c r="C3" s="5" t="s">
        <v>25</v>
      </c>
      <c r="D3" s="4">
        <v>1996</v>
      </c>
      <c r="E3" s="5" t="s">
        <v>26</v>
      </c>
      <c r="F3" s="5" t="s">
        <v>27</v>
      </c>
      <c r="G3" s="4">
        <v>2.1</v>
      </c>
      <c r="I3" t="s">
        <v>28</v>
      </c>
    </row>
    <row r="4" spans="2:10">
      <c r="B4" s="4"/>
      <c r="C4" s="5" t="s">
        <v>29</v>
      </c>
      <c r="D4" s="4">
        <v>1997</v>
      </c>
      <c r="E4" s="5" t="s">
        <v>30</v>
      </c>
      <c r="F4" s="5" t="s">
        <v>31</v>
      </c>
      <c r="G4" s="4">
        <v>2.5</v>
      </c>
      <c r="I4" t="s">
        <v>32</v>
      </c>
      <c r="J4">
        <v>19</v>
      </c>
    </row>
    <row r="5" spans="2:10">
      <c r="B5" s="4"/>
      <c r="C5" s="5" t="s">
        <v>33</v>
      </c>
      <c r="D5" s="4">
        <v>1998</v>
      </c>
      <c r="E5" s="5" t="s">
        <v>34</v>
      </c>
      <c r="F5" s="5" t="s">
        <v>35</v>
      </c>
      <c r="G5" s="4">
        <v>2.8</v>
      </c>
      <c r="I5" t="s">
        <v>36</v>
      </c>
      <c r="J5">
        <v>66</v>
      </c>
    </row>
    <row r="6" spans="2:10">
      <c r="B6" s="4"/>
      <c r="C6" s="5" t="s">
        <v>37</v>
      </c>
      <c r="D6" s="4">
        <v>1998</v>
      </c>
      <c r="E6" s="5" t="s">
        <v>37</v>
      </c>
      <c r="F6" s="5" t="s">
        <v>38</v>
      </c>
      <c r="G6" s="4">
        <v>3</v>
      </c>
      <c r="I6" t="s">
        <v>39</v>
      </c>
      <c r="J6">
        <v>13</v>
      </c>
    </row>
    <row r="7" spans="2:10">
      <c r="B7" s="4"/>
      <c r="C7" s="5" t="s">
        <v>40</v>
      </c>
      <c r="D7" s="4">
        <v>1999</v>
      </c>
      <c r="E7" s="5" t="s">
        <v>41</v>
      </c>
      <c r="F7" s="5" t="s">
        <v>42</v>
      </c>
      <c r="G7" s="4">
        <v>4</v>
      </c>
      <c r="I7" t="s">
        <v>43</v>
      </c>
      <c r="J7">
        <v>2</v>
      </c>
    </row>
    <row r="8" spans="2:10">
      <c r="B8" s="4"/>
      <c r="C8" s="5" t="s">
        <v>44</v>
      </c>
      <c r="D8" s="4">
        <v>1999</v>
      </c>
      <c r="E8" s="5" t="s">
        <v>45</v>
      </c>
      <c r="F8" s="5" t="s">
        <v>46</v>
      </c>
      <c r="G8" s="4">
        <v>5</v>
      </c>
    </row>
    <row r="9" spans="2:10">
      <c r="B9" s="4"/>
      <c r="C9" s="5" t="s">
        <v>47</v>
      </c>
      <c r="D9" s="4">
        <v>2000</v>
      </c>
      <c r="E9" s="5" t="s">
        <v>48</v>
      </c>
      <c r="F9" s="5" t="s">
        <v>49</v>
      </c>
      <c r="G9" s="4">
        <v>4</v>
      </c>
    </row>
    <row r="10" spans="2:10">
      <c r="B10" s="4"/>
      <c r="C10" s="5" t="s">
        <v>50</v>
      </c>
      <c r="D10" s="4">
        <v>2000</v>
      </c>
      <c r="E10" s="5" t="s">
        <v>51</v>
      </c>
      <c r="F10" s="5" t="s">
        <v>52</v>
      </c>
      <c r="G10" s="4">
        <v>2.4</v>
      </c>
    </row>
    <row r="11" spans="2:10">
      <c r="B11" s="4"/>
      <c r="C11" s="5" t="s">
        <v>53</v>
      </c>
      <c r="D11" s="4">
        <v>2001</v>
      </c>
      <c r="E11" s="5" t="s">
        <v>53</v>
      </c>
      <c r="F11" s="5" t="s">
        <v>54</v>
      </c>
      <c r="G11" s="4">
        <v>3.5</v>
      </c>
    </row>
    <row r="12" spans="2:10">
      <c r="B12" s="4"/>
      <c r="C12" s="5" t="s">
        <v>55</v>
      </c>
      <c r="D12" s="4">
        <v>2002</v>
      </c>
      <c r="E12" s="5" t="s">
        <v>56</v>
      </c>
      <c r="F12" s="5" t="s">
        <v>57</v>
      </c>
      <c r="G12" s="4">
        <v>4.5</v>
      </c>
    </row>
    <row r="13" spans="2:10">
      <c r="B13" s="4"/>
      <c r="C13" s="5" t="s">
        <v>58</v>
      </c>
      <c r="D13" s="4">
        <v>2002</v>
      </c>
      <c r="E13" s="5" t="s">
        <v>58</v>
      </c>
      <c r="F13" s="5" t="s">
        <v>59</v>
      </c>
      <c r="G13" s="4">
        <v>4.9000000000000004</v>
      </c>
    </row>
    <row r="14" spans="2:10">
      <c r="B14" s="4"/>
      <c r="C14" s="5" t="s">
        <v>60</v>
      </c>
      <c r="D14" s="4">
        <v>2002</v>
      </c>
      <c r="E14" s="5" t="s">
        <v>60</v>
      </c>
      <c r="F14" s="5" t="s">
        <v>61</v>
      </c>
      <c r="G14" s="4">
        <v>4.3</v>
      </c>
    </row>
    <row r="15" spans="2:10">
      <c r="B15" s="4"/>
      <c r="C15" s="5" t="s">
        <v>62</v>
      </c>
      <c r="D15" s="4">
        <v>2003</v>
      </c>
      <c r="E15" s="5" t="s">
        <v>63</v>
      </c>
      <c r="F15" s="5" t="s">
        <v>64</v>
      </c>
      <c r="G15" s="4">
        <v>3.3</v>
      </c>
    </row>
    <row r="16" spans="2:10">
      <c r="B16" s="4"/>
      <c r="C16" s="5" t="s">
        <v>65</v>
      </c>
      <c r="D16" s="4">
        <v>2003</v>
      </c>
      <c r="E16" s="5" t="s">
        <v>65</v>
      </c>
      <c r="F16" s="5" t="s">
        <v>66</v>
      </c>
      <c r="G16" s="4">
        <v>3.3</v>
      </c>
    </row>
    <row r="17" spans="2:7">
      <c r="B17" s="4">
        <v>19</v>
      </c>
      <c r="C17" s="5" t="s">
        <v>67</v>
      </c>
      <c r="D17" s="4">
        <v>2004</v>
      </c>
      <c r="E17" s="5" t="s">
        <v>68</v>
      </c>
      <c r="F17" s="5" t="s">
        <v>69</v>
      </c>
      <c r="G17" s="4">
        <v>3.1</v>
      </c>
    </row>
    <row r="18" spans="2:7">
      <c r="B18" s="4">
        <v>20</v>
      </c>
      <c r="C18" s="5" t="s">
        <v>70</v>
      </c>
      <c r="D18" s="4">
        <v>2004</v>
      </c>
      <c r="E18" s="5" t="s">
        <v>70</v>
      </c>
      <c r="F18" s="5" t="s">
        <v>71</v>
      </c>
      <c r="G18" s="4">
        <v>3.2</v>
      </c>
    </row>
    <row r="19" spans="2:7">
      <c r="B19" s="4">
        <v>21</v>
      </c>
      <c r="C19" s="5" t="s">
        <v>72</v>
      </c>
      <c r="D19" s="4">
        <v>2005</v>
      </c>
      <c r="E19" s="5" t="s">
        <v>73</v>
      </c>
      <c r="F19" s="5" t="s">
        <v>74</v>
      </c>
      <c r="G19" s="4">
        <v>2.8</v>
      </c>
    </row>
    <row r="20" spans="2:7">
      <c r="B20" s="4">
        <v>22</v>
      </c>
      <c r="C20" s="5" t="s">
        <v>75</v>
      </c>
      <c r="D20" s="4">
        <v>2005</v>
      </c>
      <c r="E20" s="5"/>
      <c r="F20" s="5"/>
      <c r="G20" s="4" t="s">
        <v>76</v>
      </c>
    </row>
    <row r="21" spans="2:7">
      <c r="B21" s="4">
        <v>23</v>
      </c>
      <c r="C21" s="5" t="s">
        <v>77</v>
      </c>
      <c r="D21" s="4">
        <v>2005</v>
      </c>
      <c r="E21" s="5"/>
      <c r="F21" s="5"/>
      <c r="G21" s="4" t="s">
        <v>76</v>
      </c>
    </row>
    <row r="22" spans="2:7">
      <c r="B22" s="4">
        <v>24</v>
      </c>
      <c r="C22" s="5" t="s">
        <v>78</v>
      </c>
      <c r="D22" s="4">
        <v>2006</v>
      </c>
      <c r="E22" s="5"/>
      <c r="F22" s="5"/>
      <c r="G22" s="4" t="s">
        <v>76</v>
      </c>
    </row>
    <row r="23" spans="2:7">
      <c r="B23" s="4">
        <v>25</v>
      </c>
      <c r="C23" s="5" t="s">
        <v>79</v>
      </c>
      <c r="D23" s="4">
        <v>2006</v>
      </c>
      <c r="E23" s="5"/>
      <c r="F23" s="5"/>
      <c r="G23" s="4" t="s">
        <v>76</v>
      </c>
    </row>
    <row r="24" spans="2:7">
      <c r="B24" s="4">
        <v>26</v>
      </c>
      <c r="C24" s="5" t="s">
        <v>80</v>
      </c>
      <c r="D24" s="4">
        <v>2007</v>
      </c>
      <c r="E24" s="5"/>
      <c r="F24" s="5"/>
      <c r="G24" s="4" t="s">
        <v>76</v>
      </c>
    </row>
    <row r="25" spans="2:7">
      <c r="B25" s="4">
        <v>27</v>
      </c>
      <c r="C25" s="5" t="s">
        <v>81</v>
      </c>
      <c r="D25" s="4">
        <v>2007</v>
      </c>
      <c r="E25" s="5"/>
      <c r="F25" s="5"/>
      <c r="G25" s="4" t="s">
        <v>76</v>
      </c>
    </row>
    <row r="26" spans="2:7">
      <c r="B26" s="4">
        <v>28</v>
      </c>
      <c r="C26" s="5" t="s">
        <v>82</v>
      </c>
      <c r="D26" s="4">
        <v>2008</v>
      </c>
      <c r="E26" s="5"/>
      <c r="F26" s="5"/>
      <c r="G26" s="4" t="s">
        <v>76</v>
      </c>
    </row>
    <row r="27" spans="2:7">
      <c r="B27" s="4">
        <v>29</v>
      </c>
      <c r="C27" s="5" t="s">
        <v>83</v>
      </c>
      <c r="D27" s="4">
        <v>2008</v>
      </c>
      <c r="E27" s="5"/>
      <c r="F27" s="5"/>
      <c r="G27" s="4" t="s">
        <v>76</v>
      </c>
    </row>
    <row r="28" spans="2:7">
      <c r="B28" s="4">
        <v>30</v>
      </c>
      <c r="C28" s="5" t="s">
        <v>84</v>
      </c>
      <c r="D28" s="4">
        <v>2009</v>
      </c>
      <c r="E28" s="5"/>
      <c r="F28" s="5"/>
      <c r="G28" s="4" t="s">
        <v>76</v>
      </c>
    </row>
    <row r="29" spans="2:7">
      <c r="B29" s="4">
        <v>31</v>
      </c>
      <c r="C29" s="5" t="s">
        <v>85</v>
      </c>
      <c r="D29" s="4">
        <v>2009</v>
      </c>
      <c r="E29" s="5"/>
      <c r="F29" s="5"/>
      <c r="G29" s="4" t="s">
        <v>76</v>
      </c>
    </row>
    <row r="30" spans="2:7">
      <c r="B30" s="4">
        <v>32</v>
      </c>
      <c r="C30" s="5" t="s">
        <v>86</v>
      </c>
      <c r="D30" s="4">
        <v>2009</v>
      </c>
      <c r="E30" s="5"/>
      <c r="F30" s="5"/>
      <c r="G30" s="4" t="s">
        <v>76</v>
      </c>
    </row>
    <row r="31" spans="2:7">
      <c r="B31" s="4">
        <v>33</v>
      </c>
      <c r="C31" s="5" t="s">
        <v>87</v>
      </c>
      <c r="D31" s="4">
        <v>2010</v>
      </c>
      <c r="E31" s="5"/>
      <c r="F31" s="5"/>
      <c r="G31" s="4" t="s">
        <v>76</v>
      </c>
    </row>
    <row r="32" spans="2:7">
      <c r="B32" s="4">
        <v>63</v>
      </c>
      <c r="C32" s="5" t="s">
        <v>88</v>
      </c>
      <c r="D32" s="4">
        <v>2010</v>
      </c>
      <c r="E32" s="5"/>
      <c r="F32" s="5"/>
      <c r="G32" s="4" t="s">
        <v>76</v>
      </c>
    </row>
    <row r="33" spans="2:7">
      <c r="B33" s="4">
        <v>64</v>
      </c>
      <c r="C33" s="5" t="s">
        <v>89</v>
      </c>
      <c r="D33" s="4">
        <v>2011</v>
      </c>
      <c r="E33" s="5"/>
      <c r="F33" s="5"/>
      <c r="G33" s="4" t="s">
        <v>76</v>
      </c>
    </row>
    <row r="34" spans="2:7">
      <c r="B34" s="4">
        <v>65</v>
      </c>
      <c r="C34" s="5" t="s">
        <v>90</v>
      </c>
      <c r="D34" s="4">
        <v>2011</v>
      </c>
      <c r="E34" s="5"/>
      <c r="F34" s="5"/>
      <c r="G34" s="4" t="s">
        <v>76</v>
      </c>
    </row>
    <row r="35" spans="2:7">
      <c r="B35" s="4">
        <v>66</v>
      </c>
      <c r="C35" s="5" t="s">
        <v>91</v>
      </c>
      <c r="D35" s="4">
        <v>2012</v>
      </c>
      <c r="E35" s="5"/>
      <c r="F35" s="5"/>
      <c r="G35" s="4" t="s">
        <v>76</v>
      </c>
    </row>
    <row r="36" spans="2:7">
      <c r="B36" s="4">
        <v>67</v>
      </c>
      <c r="C36" s="5" t="s">
        <v>92</v>
      </c>
      <c r="D36" s="4">
        <v>2012</v>
      </c>
      <c r="E36" s="5"/>
      <c r="F36" s="5"/>
      <c r="G36" s="4" t="s">
        <v>76</v>
      </c>
    </row>
    <row r="37" spans="2:7">
      <c r="B37" s="4">
        <v>68</v>
      </c>
      <c r="C37" s="5" t="s">
        <v>93</v>
      </c>
      <c r="D37" s="4">
        <v>2012</v>
      </c>
      <c r="E37" s="5"/>
      <c r="F37" s="5"/>
      <c r="G37" s="4" t="s">
        <v>76</v>
      </c>
    </row>
    <row r="38" spans="2:7">
      <c r="B38" s="4">
        <v>69</v>
      </c>
      <c r="C38" s="5" t="s">
        <v>94</v>
      </c>
      <c r="D38" s="4">
        <v>2013</v>
      </c>
      <c r="E38" s="5"/>
      <c r="F38" s="5"/>
      <c r="G38" s="4" t="s">
        <v>76</v>
      </c>
    </row>
    <row r="39" spans="2:7">
      <c r="B39" s="4">
        <v>70</v>
      </c>
      <c r="C39" s="5" t="s">
        <v>95</v>
      </c>
      <c r="D39" s="4">
        <v>2013</v>
      </c>
      <c r="E39" s="5"/>
      <c r="F39" s="5"/>
      <c r="G39" s="4" t="s">
        <v>76</v>
      </c>
    </row>
    <row r="40" spans="2:7">
      <c r="B40" s="6"/>
      <c r="C40" s="7"/>
      <c r="D40" s="6"/>
      <c r="E40" s="7"/>
      <c r="F40" s="7"/>
      <c r="G40" s="6"/>
    </row>
    <row r="41" spans="2:7">
      <c r="B41" s="6"/>
      <c r="C41" s="7"/>
      <c r="D41" s="6"/>
      <c r="E41" s="7"/>
      <c r="F41" s="7"/>
      <c r="G41" s="6"/>
    </row>
    <row r="42" spans="2:7">
      <c r="B42" s="6"/>
      <c r="C42" s="7"/>
      <c r="D42" s="6"/>
      <c r="E42" s="7"/>
      <c r="F42" s="7"/>
      <c r="G42" s="6"/>
    </row>
    <row r="43" spans="2:7">
      <c r="B43" s="6"/>
      <c r="C43" s="7"/>
      <c r="D43" s="6"/>
      <c r="E43" s="7"/>
      <c r="F43" s="7"/>
      <c r="G43" s="6"/>
    </row>
    <row r="44" spans="2:7">
      <c r="B44" s="6"/>
      <c r="C44" s="7"/>
      <c r="D44" s="6"/>
      <c r="E44" s="7"/>
      <c r="F44" s="7"/>
      <c r="G44" s="6"/>
    </row>
    <row r="45" spans="2:7">
      <c r="B45" s="6"/>
      <c r="C45" s="7"/>
      <c r="D45" s="6"/>
      <c r="E45" s="7"/>
      <c r="F45" s="7"/>
      <c r="G45" s="6"/>
    </row>
    <row r="46" spans="2:7">
      <c r="B46" s="6"/>
      <c r="C46" s="7"/>
      <c r="D46" s="6"/>
      <c r="E46" s="7"/>
      <c r="F46" s="7"/>
      <c r="G46" s="6"/>
    </row>
    <row r="47" spans="2:7">
      <c r="B47" s="6"/>
      <c r="C47" s="7"/>
      <c r="D47" s="6"/>
      <c r="E47" s="7"/>
      <c r="F47" s="7"/>
      <c r="G47" s="6"/>
    </row>
    <row r="48" spans="2:7">
      <c r="B48" s="6"/>
      <c r="C48" s="7"/>
      <c r="D48" s="6"/>
      <c r="E48" s="7"/>
      <c r="F48" s="7"/>
      <c r="G48" s="6"/>
    </row>
    <row r="49" spans="2:7">
      <c r="B49" s="6"/>
      <c r="C49" s="7"/>
      <c r="D49" s="6"/>
      <c r="E49" s="7"/>
      <c r="F49" s="7"/>
      <c r="G49" s="6"/>
    </row>
    <row r="50" spans="2:7">
      <c r="B50" s="6"/>
      <c r="C50" s="7"/>
      <c r="D50" s="6"/>
      <c r="E50" s="7"/>
      <c r="F50" s="7"/>
      <c r="G50" s="6"/>
    </row>
    <row r="51" spans="2:7">
      <c r="B51" s="6"/>
      <c r="C51" s="7"/>
      <c r="D51" s="6"/>
      <c r="E51" s="7"/>
      <c r="F51" s="7"/>
      <c r="G51" s="6"/>
    </row>
    <row r="52" spans="2:7">
      <c r="B52" s="6"/>
      <c r="C52" s="7"/>
      <c r="D52" s="6"/>
      <c r="E52" s="7"/>
      <c r="F52" s="7"/>
      <c r="G52" s="6"/>
    </row>
    <row r="53" spans="2:7">
      <c r="B53" s="6"/>
      <c r="C53" s="7"/>
      <c r="D53" s="6"/>
      <c r="E53" s="7"/>
      <c r="F53" s="7"/>
      <c r="G53" s="6"/>
    </row>
  </sheetData>
  <pageMargins left="0.7" right="0.7" top="0.75" bottom="0.75" header="0.3" footer="0.3"/>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0"/>
  <sheetViews>
    <sheetView topLeftCell="R16" workbookViewId="0">
      <selection activeCell="R16" sqref="R16"/>
    </sheetView>
  </sheetViews>
  <sheetFormatPr baseColWidth="10" defaultRowHeight="14" x14ac:dyDescent="0"/>
  <sheetData>
    <row r="1" spans="2:41" ht="16" thickBot="1">
      <c r="B1" s="236" t="s">
        <v>96</v>
      </c>
      <c r="C1" s="237"/>
      <c r="D1" s="237"/>
      <c r="E1" s="237"/>
      <c r="F1" s="237"/>
      <c r="G1" s="237"/>
      <c r="H1" s="237"/>
      <c r="I1" s="237"/>
      <c r="J1" s="237"/>
      <c r="K1" s="237"/>
      <c r="L1" s="237"/>
      <c r="M1" s="238"/>
    </row>
    <row r="2" spans="2:41" ht="16" thickBot="1">
      <c r="B2" s="239"/>
      <c r="C2" s="231" t="s">
        <v>97</v>
      </c>
      <c r="D2" s="233"/>
      <c r="E2" s="232"/>
      <c r="F2" s="231" t="s">
        <v>98</v>
      </c>
      <c r="G2" s="233"/>
      <c r="H2" s="233"/>
      <c r="I2" s="233"/>
      <c r="J2" s="233"/>
      <c r="K2" s="233"/>
      <c r="L2" s="233"/>
      <c r="M2" s="232"/>
    </row>
    <row r="3" spans="2:41" ht="16" thickBot="1">
      <c r="B3" s="240"/>
      <c r="C3" s="216" t="s">
        <v>99</v>
      </c>
      <c r="D3" s="217"/>
      <c r="E3" s="8" t="s">
        <v>100</v>
      </c>
      <c r="F3" s="216" t="s">
        <v>101</v>
      </c>
      <c r="G3" s="217"/>
      <c r="H3" s="216" t="s">
        <v>102</v>
      </c>
      <c r="I3" s="217"/>
      <c r="J3" s="216" t="s">
        <v>103</v>
      </c>
      <c r="K3" s="217"/>
      <c r="L3" s="216" t="s">
        <v>104</v>
      </c>
      <c r="M3" s="217"/>
    </row>
    <row r="4" spans="2:41" ht="16" thickBot="1">
      <c r="B4" s="241"/>
      <c r="C4" s="216">
        <v>-48.9</v>
      </c>
      <c r="D4" s="217"/>
      <c r="E4" s="8">
        <v>-51.1</v>
      </c>
      <c r="F4" s="216">
        <v>-27.2</v>
      </c>
      <c r="G4" s="217"/>
      <c r="H4" s="216">
        <v>-32.799999999999997</v>
      </c>
      <c r="I4" s="217"/>
      <c r="J4" s="216">
        <v>-23.8</v>
      </c>
      <c r="K4" s="217"/>
      <c r="L4" s="216">
        <v>-16.2</v>
      </c>
      <c r="M4" s="217"/>
    </row>
    <row r="5" spans="2:41" ht="16" thickBot="1">
      <c r="B5" s="9" t="s">
        <v>105</v>
      </c>
      <c r="C5" s="216">
        <v>59.2</v>
      </c>
      <c r="D5" s="217"/>
      <c r="E5" s="8">
        <v>50.3</v>
      </c>
      <c r="F5" s="216">
        <v>51.3</v>
      </c>
      <c r="G5" s="217"/>
      <c r="H5" s="216">
        <v>58.3</v>
      </c>
      <c r="I5" s="217"/>
      <c r="J5" s="216">
        <v>57.7</v>
      </c>
      <c r="K5" s="217"/>
      <c r="L5" s="216">
        <v>48.3</v>
      </c>
      <c r="M5" s="217"/>
    </row>
    <row r="6" spans="2:41" ht="16" thickBot="1">
      <c r="B6" s="9" t="s">
        <v>106</v>
      </c>
      <c r="C6" s="216">
        <v>35.200000000000003</v>
      </c>
      <c r="D6" s="217"/>
      <c r="E6" s="8">
        <v>39.200000000000003</v>
      </c>
      <c r="F6" s="216">
        <v>42.6</v>
      </c>
      <c r="G6" s="217"/>
      <c r="H6" s="216">
        <v>36.200000000000003</v>
      </c>
      <c r="I6" s="217"/>
      <c r="J6" s="216">
        <v>32.700000000000003</v>
      </c>
      <c r="K6" s="217"/>
      <c r="L6" s="216">
        <v>37.299999999999997</v>
      </c>
      <c r="M6" s="217"/>
    </row>
    <row r="7" spans="2:41" ht="16" thickBot="1">
      <c r="B7" s="9" t="s">
        <v>5</v>
      </c>
      <c r="C7" s="216">
        <v>5.6</v>
      </c>
      <c r="D7" s="217"/>
      <c r="E7" s="8">
        <v>10.5</v>
      </c>
      <c r="F7" s="216">
        <v>6.2</v>
      </c>
      <c r="G7" s="217"/>
      <c r="H7" s="216">
        <v>5.5</v>
      </c>
      <c r="I7" s="217"/>
      <c r="J7" s="216">
        <v>9.6</v>
      </c>
      <c r="K7" s="217"/>
      <c r="L7" s="216">
        <v>8.1</v>
      </c>
      <c r="M7" s="217"/>
    </row>
    <row r="8" spans="2:41" ht="15" thickBot="1">
      <c r="B8" s="222"/>
      <c r="C8" s="223"/>
      <c r="D8" s="223"/>
      <c r="E8" s="223"/>
      <c r="F8" s="223"/>
      <c r="G8" s="223"/>
      <c r="H8" s="223"/>
      <c r="I8" s="223"/>
      <c r="J8" s="223"/>
      <c r="K8" s="223"/>
      <c r="L8" s="223"/>
      <c r="M8" s="224"/>
    </row>
    <row r="9" spans="2:41" ht="16" thickBot="1">
      <c r="B9" s="225"/>
      <c r="C9" s="226"/>
      <c r="D9" s="231" t="s">
        <v>107</v>
      </c>
      <c r="E9" s="232"/>
      <c r="F9" s="231" t="s">
        <v>108</v>
      </c>
      <c r="G9" s="233"/>
      <c r="H9" s="233"/>
      <c r="I9" s="233"/>
      <c r="J9" s="233"/>
      <c r="K9" s="233"/>
      <c r="L9" s="233"/>
      <c r="M9" s="232"/>
    </row>
    <row r="10" spans="2:41" ht="16" thickBot="1">
      <c r="B10" s="227"/>
      <c r="C10" s="228"/>
      <c r="D10" s="8" t="s">
        <v>109</v>
      </c>
      <c r="E10" s="8" t="s">
        <v>110</v>
      </c>
      <c r="F10" s="10" t="s">
        <v>111</v>
      </c>
      <c r="G10" s="234" t="s">
        <v>112</v>
      </c>
      <c r="H10" s="235"/>
      <c r="I10" s="234" t="s">
        <v>113</v>
      </c>
      <c r="J10" s="235"/>
      <c r="K10" s="234" t="s">
        <v>114</v>
      </c>
      <c r="L10" s="235"/>
      <c r="M10" s="10" t="s">
        <v>115</v>
      </c>
    </row>
    <row r="11" spans="2:41" ht="16" thickBot="1">
      <c r="B11" s="229"/>
      <c r="C11" s="230"/>
      <c r="D11" s="8">
        <v>-42.8</v>
      </c>
      <c r="E11" s="8">
        <v>-57.2</v>
      </c>
      <c r="F11" s="8">
        <v>-4.8</v>
      </c>
      <c r="G11" s="216">
        <v>-11.4</v>
      </c>
      <c r="H11" s="217"/>
      <c r="I11" s="216">
        <v>-45.2</v>
      </c>
      <c r="J11" s="217"/>
      <c r="K11" s="216">
        <v>-36.9</v>
      </c>
      <c r="L11" s="217"/>
      <c r="M11" s="8">
        <v>-1.7</v>
      </c>
    </row>
    <row r="12" spans="2:41" ht="16" thickBot="1">
      <c r="B12" s="216" t="s">
        <v>105</v>
      </c>
      <c r="C12" s="217"/>
      <c r="D12" s="8">
        <v>46.4</v>
      </c>
      <c r="E12" s="8">
        <v>60.8</v>
      </c>
      <c r="F12" s="8">
        <v>56.2</v>
      </c>
      <c r="G12" s="216">
        <v>58.9</v>
      </c>
      <c r="H12" s="217"/>
      <c r="I12" s="216">
        <v>56.6</v>
      </c>
      <c r="J12" s="217"/>
      <c r="K12" s="216">
        <v>51.3</v>
      </c>
      <c r="L12" s="217"/>
      <c r="M12" s="8">
        <v>41.7</v>
      </c>
    </row>
    <row r="13" spans="2:41" ht="16" thickBot="1">
      <c r="B13" s="216" t="s">
        <v>106</v>
      </c>
      <c r="C13" s="217"/>
      <c r="D13" s="8">
        <v>44.9</v>
      </c>
      <c r="E13" s="8">
        <v>31.6</v>
      </c>
      <c r="F13" s="8">
        <v>42.3</v>
      </c>
      <c r="G13" s="216">
        <v>35.700000000000003</v>
      </c>
      <c r="H13" s="217"/>
      <c r="I13" s="216">
        <v>37.1</v>
      </c>
      <c r="J13" s="217"/>
      <c r="K13" s="216">
        <v>36.799999999999997</v>
      </c>
      <c r="L13" s="217"/>
      <c r="M13" s="8">
        <v>46.1</v>
      </c>
    </row>
    <row r="14" spans="2:41" ht="16" thickBot="1">
      <c r="B14" s="216" t="s">
        <v>5</v>
      </c>
      <c r="C14" s="217"/>
      <c r="D14" s="8">
        <v>8.8000000000000007</v>
      </c>
      <c r="E14" s="8">
        <v>7.6</v>
      </c>
      <c r="F14" s="8">
        <v>1.5</v>
      </c>
      <c r="G14" s="216">
        <v>5.4</v>
      </c>
      <c r="H14" s="217"/>
      <c r="I14" s="216">
        <v>6.3</v>
      </c>
      <c r="J14" s="217"/>
      <c r="K14" s="216">
        <v>11.9</v>
      </c>
      <c r="L14" s="217"/>
      <c r="M14" s="8">
        <v>12.2</v>
      </c>
    </row>
    <row r="15" spans="2:41" ht="16" thickBot="1">
      <c r="B15" s="218" t="s">
        <v>116</v>
      </c>
      <c r="C15" s="219"/>
      <c r="D15" s="219"/>
      <c r="E15" s="219"/>
      <c r="F15" s="219"/>
      <c r="G15" s="219"/>
      <c r="H15" s="219"/>
      <c r="I15" s="219"/>
      <c r="J15" s="219"/>
      <c r="K15" s="219"/>
      <c r="L15" s="219"/>
      <c r="M15" s="220"/>
    </row>
    <row r="16" spans="2:41" ht="15">
      <c r="AD16" s="221" t="s">
        <v>96</v>
      </c>
      <c r="AE16" s="221"/>
      <c r="AF16" s="221"/>
      <c r="AG16" s="221"/>
      <c r="AH16" s="221"/>
      <c r="AI16" s="221"/>
      <c r="AJ16" s="221"/>
      <c r="AK16" s="221"/>
      <c r="AL16" s="221"/>
      <c r="AM16" s="221"/>
      <c r="AN16" s="221"/>
      <c r="AO16" s="221"/>
    </row>
    <row r="17" spans="1:41" ht="15">
      <c r="AD17" s="215"/>
      <c r="AE17" s="213" t="s">
        <v>97</v>
      </c>
      <c r="AF17" s="213"/>
      <c r="AG17" s="213"/>
      <c r="AH17" s="213" t="s">
        <v>98</v>
      </c>
      <c r="AI17" s="213"/>
      <c r="AJ17" s="213"/>
      <c r="AK17" s="213"/>
      <c r="AL17" s="213"/>
      <c r="AM17" s="213"/>
      <c r="AN17" s="213"/>
      <c r="AO17" s="213"/>
    </row>
    <row r="18" spans="1:41" ht="15">
      <c r="B18" t="s">
        <v>105</v>
      </c>
      <c r="C18" t="s">
        <v>106</v>
      </c>
      <c r="D18" t="s">
        <v>5</v>
      </c>
      <c r="K18" t="s">
        <v>105</v>
      </c>
      <c r="L18" t="s">
        <v>118</v>
      </c>
      <c r="M18" t="s">
        <v>119</v>
      </c>
      <c r="U18" t="s">
        <v>105</v>
      </c>
      <c r="V18" t="s">
        <v>124</v>
      </c>
      <c r="W18" t="s">
        <v>119</v>
      </c>
      <c r="AD18" s="215"/>
      <c r="AE18" s="210" t="s">
        <v>99</v>
      </c>
      <c r="AF18" s="210"/>
      <c r="AG18" s="135" t="s">
        <v>100</v>
      </c>
      <c r="AH18" s="210" t="s">
        <v>101</v>
      </c>
      <c r="AI18" s="210"/>
      <c r="AJ18" s="210" t="s">
        <v>102</v>
      </c>
      <c r="AK18" s="210"/>
      <c r="AL18" s="210" t="s">
        <v>103</v>
      </c>
      <c r="AM18" s="210"/>
      <c r="AN18" s="210" t="s">
        <v>104</v>
      </c>
      <c r="AO18" s="210"/>
    </row>
    <row r="19" spans="1:41" ht="15">
      <c r="A19" t="s">
        <v>117</v>
      </c>
      <c r="B19">
        <v>54.6</v>
      </c>
      <c r="C19">
        <v>37.299999999999997</v>
      </c>
      <c r="D19">
        <v>8.1</v>
      </c>
      <c r="J19" t="s">
        <v>120</v>
      </c>
      <c r="K19" s="12">
        <v>45.957960202541727</v>
      </c>
      <c r="L19" s="12">
        <v>37.458722882218289</v>
      </c>
      <c r="M19" s="12">
        <v>16.583316915239983</v>
      </c>
      <c r="T19" t="s">
        <v>125</v>
      </c>
      <c r="U19">
        <v>50.6</v>
      </c>
      <c r="V19">
        <v>47.2</v>
      </c>
      <c r="W19">
        <v>2.2999999999999998</v>
      </c>
      <c r="AD19" s="215"/>
      <c r="AE19" s="210">
        <v>-48.9</v>
      </c>
      <c r="AF19" s="210"/>
      <c r="AG19" s="135">
        <v>-51.1</v>
      </c>
      <c r="AH19" s="210">
        <v>-27.2</v>
      </c>
      <c r="AI19" s="210"/>
      <c r="AJ19" s="210">
        <v>-32.799999999999997</v>
      </c>
      <c r="AK19" s="210"/>
      <c r="AL19" s="210">
        <v>-23.8</v>
      </c>
      <c r="AM19" s="210"/>
      <c r="AN19" s="210">
        <v>-16.2</v>
      </c>
      <c r="AO19" s="210"/>
    </row>
    <row r="20" spans="1:41" ht="15">
      <c r="J20" t="s">
        <v>121</v>
      </c>
      <c r="K20" s="12">
        <v>55.55834880441509</v>
      </c>
      <c r="L20" s="12">
        <v>37.395522009515986</v>
      </c>
      <c r="M20" s="12">
        <v>7.0461291860689252</v>
      </c>
      <c r="T20" t="s">
        <v>126</v>
      </c>
      <c r="U20">
        <v>56.2</v>
      </c>
      <c r="V20">
        <v>38.4</v>
      </c>
      <c r="W20">
        <v>5.4</v>
      </c>
      <c r="AD20" s="135" t="s">
        <v>105</v>
      </c>
      <c r="AE20" s="210">
        <v>59.2</v>
      </c>
      <c r="AF20" s="210"/>
      <c r="AG20" s="135">
        <v>50.3</v>
      </c>
      <c r="AH20" s="210">
        <v>51.3</v>
      </c>
      <c r="AI20" s="210"/>
      <c r="AJ20" s="210">
        <v>58.3</v>
      </c>
      <c r="AK20" s="210"/>
      <c r="AL20" s="210">
        <v>57.7</v>
      </c>
      <c r="AM20" s="210"/>
      <c r="AN20" s="210">
        <v>48.3</v>
      </c>
      <c r="AO20" s="210"/>
    </row>
    <row r="21" spans="1:41" ht="15">
      <c r="J21" t="s">
        <v>122</v>
      </c>
      <c r="K21" s="12">
        <v>59.436248159014873</v>
      </c>
      <c r="L21" s="12">
        <v>34.037647423314446</v>
      </c>
      <c r="M21" s="12">
        <v>6.5261044176706831</v>
      </c>
      <c r="T21" t="s">
        <v>127</v>
      </c>
      <c r="U21">
        <v>64.599999999999994</v>
      </c>
      <c r="V21">
        <v>29.7</v>
      </c>
      <c r="W21">
        <v>5.7</v>
      </c>
      <c r="AD21" s="135" t="s">
        <v>106</v>
      </c>
      <c r="AE21" s="210">
        <v>35.200000000000003</v>
      </c>
      <c r="AF21" s="210"/>
      <c r="AG21" s="135">
        <v>39.200000000000003</v>
      </c>
      <c r="AH21" s="210">
        <v>42.6</v>
      </c>
      <c r="AI21" s="210"/>
      <c r="AJ21" s="210">
        <v>36.200000000000003</v>
      </c>
      <c r="AK21" s="210"/>
      <c r="AL21" s="210">
        <v>32.700000000000003</v>
      </c>
      <c r="AM21" s="210"/>
      <c r="AN21" s="210">
        <v>37.299999999999997</v>
      </c>
      <c r="AO21" s="210"/>
    </row>
    <row r="22" spans="1:41" ht="15">
      <c r="J22" t="s">
        <v>123</v>
      </c>
      <c r="K22" s="12">
        <v>58.809123972716137</v>
      </c>
      <c r="L22" s="12">
        <v>39.722021581830653</v>
      </c>
      <c r="M22" s="12">
        <v>1.4688544454532058</v>
      </c>
      <c r="T22" t="s">
        <v>128</v>
      </c>
      <c r="U22">
        <v>52.4</v>
      </c>
      <c r="V22">
        <v>37.299999999999997</v>
      </c>
      <c r="W22">
        <v>10.3</v>
      </c>
      <c r="AD22" s="135" t="s">
        <v>5</v>
      </c>
      <c r="AE22" s="210">
        <v>5.6</v>
      </c>
      <c r="AF22" s="210"/>
      <c r="AG22" s="135">
        <v>10.5</v>
      </c>
      <c r="AH22" s="210">
        <v>6.2</v>
      </c>
      <c r="AI22" s="210"/>
      <c r="AJ22" s="210">
        <v>5.5</v>
      </c>
      <c r="AK22" s="210"/>
      <c r="AL22" s="210">
        <v>9.6</v>
      </c>
      <c r="AM22" s="210"/>
      <c r="AN22" s="210">
        <v>8.1</v>
      </c>
      <c r="AO22" s="210"/>
    </row>
    <row r="23" spans="1:41">
      <c r="AD23" s="212"/>
      <c r="AE23" s="212"/>
      <c r="AF23" s="212"/>
      <c r="AG23" s="212"/>
      <c r="AH23" s="212"/>
      <c r="AI23" s="212"/>
      <c r="AJ23" s="212"/>
      <c r="AK23" s="212"/>
      <c r="AL23" s="212"/>
      <c r="AM23" s="212"/>
      <c r="AN23" s="212"/>
      <c r="AO23" s="212"/>
    </row>
    <row r="24" spans="1:41" ht="15">
      <c r="AD24" s="212"/>
      <c r="AE24" s="212"/>
      <c r="AF24" s="213" t="s">
        <v>107</v>
      </c>
      <c r="AG24" s="213"/>
      <c r="AH24" s="213" t="s">
        <v>108</v>
      </c>
      <c r="AI24" s="213"/>
      <c r="AJ24" s="213"/>
      <c r="AK24" s="213"/>
      <c r="AL24" s="213"/>
      <c r="AM24" s="213"/>
      <c r="AN24" s="213"/>
      <c r="AO24" s="213"/>
    </row>
    <row r="25" spans="1:41" ht="15">
      <c r="AD25" s="212"/>
      <c r="AE25" s="212"/>
      <c r="AF25" s="135" t="s">
        <v>109</v>
      </c>
      <c r="AG25" s="135" t="s">
        <v>110</v>
      </c>
      <c r="AH25" s="136" t="s">
        <v>111</v>
      </c>
      <c r="AI25" s="214" t="s">
        <v>112</v>
      </c>
      <c r="AJ25" s="214"/>
      <c r="AK25" s="214" t="s">
        <v>113</v>
      </c>
      <c r="AL25" s="214"/>
      <c r="AM25" s="214" t="s">
        <v>114</v>
      </c>
      <c r="AN25" s="214"/>
      <c r="AO25" s="136" t="s">
        <v>115</v>
      </c>
    </row>
    <row r="26" spans="1:41" ht="15">
      <c r="AD26" s="212"/>
      <c r="AE26" s="212"/>
      <c r="AF26" s="135">
        <v>-42.8</v>
      </c>
      <c r="AG26" s="135">
        <v>-57.2</v>
      </c>
      <c r="AH26" s="135">
        <v>-4.8</v>
      </c>
      <c r="AI26" s="210">
        <v>-11.4</v>
      </c>
      <c r="AJ26" s="210"/>
      <c r="AK26" s="210">
        <v>-45.2</v>
      </c>
      <c r="AL26" s="210"/>
      <c r="AM26" s="210">
        <v>-36.9</v>
      </c>
      <c r="AN26" s="210"/>
      <c r="AO26" s="135">
        <v>-1.7</v>
      </c>
    </row>
    <row r="27" spans="1:41" ht="15">
      <c r="AD27" s="210" t="s">
        <v>105</v>
      </c>
      <c r="AE27" s="210"/>
      <c r="AF27" s="135">
        <v>46.4</v>
      </c>
      <c r="AG27" s="135">
        <v>60.8</v>
      </c>
      <c r="AH27" s="135">
        <v>56.2</v>
      </c>
      <c r="AI27" s="210">
        <v>58.9</v>
      </c>
      <c r="AJ27" s="210"/>
      <c r="AK27" s="210">
        <v>56.6</v>
      </c>
      <c r="AL27" s="210"/>
      <c r="AM27" s="210">
        <v>51.3</v>
      </c>
      <c r="AN27" s="210"/>
      <c r="AO27" s="135">
        <v>41.7</v>
      </c>
    </row>
    <row r="28" spans="1:41" ht="15">
      <c r="AD28" s="210" t="s">
        <v>106</v>
      </c>
      <c r="AE28" s="210"/>
      <c r="AF28" s="135">
        <v>44.9</v>
      </c>
      <c r="AG28" s="135">
        <v>31.6</v>
      </c>
      <c r="AH28" s="135">
        <v>42.3</v>
      </c>
      <c r="AI28" s="210">
        <v>35.700000000000003</v>
      </c>
      <c r="AJ28" s="210"/>
      <c r="AK28" s="210">
        <v>37.1</v>
      </c>
      <c r="AL28" s="210"/>
      <c r="AM28" s="210">
        <v>36.799999999999997</v>
      </c>
      <c r="AN28" s="210"/>
      <c r="AO28" s="135">
        <v>46.1</v>
      </c>
    </row>
    <row r="29" spans="1:41" ht="15">
      <c r="AD29" s="210" t="s">
        <v>5</v>
      </c>
      <c r="AE29" s="210"/>
      <c r="AF29" s="135">
        <v>8.8000000000000007</v>
      </c>
      <c r="AG29" s="135">
        <v>7.6</v>
      </c>
      <c r="AH29" s="135">
        <v>1.5</v>
      </c>
      <c r="AI29" s="210">
        <v>5.4</v>
      </c>
      <c r="AJ29" s="210"/>
      <c r="AK29" s="210">
        <v>6.3</v>
      </c>
      <c r="AL29" s="210"/>
      <c r="AM29" s="210">
        <v>11.9</v>
      </c>
      <c r="AN29" s="210"/>
      <c r="AO29" s="135">
        <v>12.2</v>
      </c>
    </row>
    <row r="30" spans="1:41" ht="15">
      <c r="AD30" s="211" t="s">
        <v>116</v>
      </c>
      <c r="AE30" s="211"/>
      <c r="AF30" s="211"/>
      <c r="AG30" s="211"/>
      <c r="AH30" s="211"/>
      <c r="AI30" s="211"/>
      <c r="AJ30" s="211"/>
      <c r="AK30" s="211"/>
      <c r="AL30" s="211"/>
      <c r="AM30" s="211"/>
      <c r="AN30" s="211"/>
      <c r="AO30" s="211"/>
    </row>
  </sheetData>
  <mergeCells count="104">
    <mergeCell ref="B1:M1"/>
    <mergeCell ref="B2:B4"/>
    <mergeCell ref="C2:E2"/>
    <mergeCell ref="F2:M2"/>
    <mergeCell ref="C3:D3"/>
    <mergeCell ref="F3:G3"/>
    <mergeCell ref="H3:I3"/>
    <mergeCell ref="J3:K3"/>
    <mergeCell ref="L3:M3"/>
    <mergeCell ref="C4:D4"/>
    <mergeCell ref="F4:G4"/>
    <mergeCell ref="H4:I4"/>
    <mergeCell ref="J4:K4"/>
    <mergeCell ref="L4:M4"/>
    <mergeCell ref="C5:D5"/>
    <mergeCell ref="F5:G5"/>
    <mergeCell ref="H5:I5"/>
    <mergeCell ref="J5:K5"/>
    <mergeCell ref="L5:M5"/>
    <mergeCell ref="C6:D6"/>
    <mergeCell ref="F6:G6"/>
    <mergeCell ref="H6:I6"/>
    <mergeCell ref="J6:K6"/>
    <mergeCell ref="L6:M6"/>
    <mergeCell ref="C7:D7"/>
    <mergeCell ref="F7:G7"/>
    <mergeCell ref="H7:I7"/>
    <mergeCell ref="J7:K7"/>
    <mergeCell ref="L7:M7"/>
    <mergeCell ref="B8:M8"/>
    <mergeCell ref="B9:C11"/>
    <mergeCell ref="D9:E9"/>
    <mergeCell ref="F9:M9"/>
    <mergeCell ref="G10:H10"/>
    <mergeCell ref="I10:J10"/>
    <mergeCell ref="K10:L10"/>
    <mergeCell ref="G11:H11"/>
    <mergeCell ref="I11:J11"/>
    <mergeCell ref="K11:L11"/>
    <mergeCell ref="B14:C14"/>
    <mergeCell ref="G14:H14"/>
    <mergeCell ref="I14:J14"/>
    <mergeCell ref="K14:L14"/>
    <mergeCell ref="B15:M15"/>
    <mergeCell ref="AD16:AO16"/>
    <mergeCell ref="B12:C12"/>
    <mergeCell ref="G12:H12"/>
    <mergeCell ref="I12:J12"/>
    <mergeCell ref="K12:L12"/>
    <mergeCell ref="B13:C13"/>
    <mergeCell ref="G13:H13"/>
    <mergeCell ref="I13:J13"/>
    <mergeCell ref="K13:L13"/>
    <mergeCell ref="AJ19:AK19"/>
    <mergeCell ref="AL19:AM19"/>
    <mergeCell ref="AN19:AO19"/>
    <mergeCell ref="AE20:AF20"/>
    <mergeCell ref="AH20:AI20"/>
    <mergeCell ref="AJ20:AK20"/>
    <mergeCell ref="AL20:AM20"/>
    <mergeCell ref="AN20:AO20"/>
    <mergeCell ref="AD17:AD19"/>
    <mergeCell ref="AE17:AG17"/>
    <mergeCell ref="AH17:AO17"/>
    <mergeCell ref="AE18:AF18"/>
    <mergeCell ref="AH18:AI18"/>
    <mergeCell ref="AJ18:AK18"/>
    <mergeCell ref="AL18:AM18"/>
    <mergeCell ref="AN18:AO18"/>
    <mergeCell ref="AE19:AF19"/>
    <mergeCell ref="AH19:AI19"/>
    <mergeCell ref="AE21:AF21"/>
    <mergeCell ref="AH21:AI21"/>
    <mergeCell ref="AJ21:AK21"/>
    <mergeCell ref="AL21:AM21"/>
    <mergeCell ref="AN21:AO21"/>
    <mergeCell ref="AE22:AF22"/>
    <mergeCell ref="AH22:AI22"/>
    <mergeCell ref="AJ22:AK22"/>
    <mergeCell ref="AL22:AM22"/>
    <mergeCell ref="AN22:AO22"/>
    <mergeCell ref="AD23:AO23"/>
    <mergeCell ref="AD24:AE26"/>
    <mergeCell ref="AF24:AG24"/>
    <mergeCell ref="AH24:AO24"/>
    <mergeCell ref="AI25:AJ25"/>
    <mergeCell ref="AK25:AL25"/>
    <mergeCell ref="AM25:AN25"/>
    <mergeCell ref="AI26:AJ26"/>
    <mergeCell ref="AK26:AL26"/>
    <mergeCell ref="AM26:AN26"/>
    <mergeCell ref="AD29:AE29"/>
    <mergeCell ref="AI29:AJ29"/>
    <mergeCell ref="AK29:AL29"/>
    <mergeCell ref="AM29:AN29"/>
    <mergeCell ref="AD30:AO30"/>
    <mergeCell ref="AD27:AE27"/>
    <mergeCell ref="AI27:AJ27"/>
    <mergeCell ref="AK27:AL27"/>
    <mergeCell ref="AM27:AN27"/>
    <mergeCell ref="AD28:AE28"/>
    <mergeCell ref="AI28:AJ28"/>
    <mergeCell ref="AK28:AL28"/>
    <mergeCell ref="AM28:AN28"/>
  </mergeCells>
  <pageMargins left="0.7" right="0.7" top="0.75" bottom="0.75" header="0.3" footer="0.3"/>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G242"/>
  <sheetViews>
    <sheetView topLeftCell="B22" workbookViewId="0">
      <selection activeCell="E41" sqref="E41:I48"/>
    </sheetView>
  </sheetViews>
  <sheetFormatPr baseColWidth="10" defaultRowHeight="14" x14ac:dyDescent="0"/>
  <sheetData>
    <row r="1" spans="2:33">
      <c r="B1" s="14" t="s">
        <v>0</v>
      </c>
      <c r="C1" s="15" t="s">
        <v>129</v>
      </c>
      <c r="D1" s="14"/>
      <c r="E1" s="243" t="s">
        <v>130</v>
      </c>
      <c r="F1" s="243"/>
      <c r="G1" s="243"/>
      <c r="H1" s="243"/>
      <c r="I1" s="243"/>
      <c r="J1" s="14"/>
      <c r="K1" s="14"/>
      <c r="L1" s="14"/>
      <c r="M1" s="14"/>
      <c r="N1" s="14"/>
      <c r="O1" s="14"/>
      <c r="P1" s="14"/>
      <c r="Q1" s="14"/>
      <c r="R1" s="14"/>
      <c r="S1" s="14"/>
      <c r="T1" s="14"/>
      <c r="U1" s="14"/>
      <c r="V1" s="14"/>
      <c r="W1" s="14"/>
      <c r="X1" s="14"/>
      <c r="Y1" s="14"/>
      <c r="Z1" s="14"/>
      <c r="AA1" s="14"/>
      <c r="AB1" s="14"/>
      <c r="AC1" s="14"/>
      <c r="AD1" s="14"/>
      <c r="AE1" s="14"/>
      <c r="AF1" s="14"/>
      <c r="AG1" s="14"/>
    </row>
    <row r="2" spans="2:33">
      <c r="B2" s="14" t="s">
        <v>131</v>
      </c>
      <c r="C2" s="15" t="s">
        <v>14</v>
      </c>
      <c r="D2" s="14"/>
      <c r="E2" s="16" t="s">
        <v>132</v>
      </c>
      <c r="F2" s="17" t="s">
        <v>133</v>
      </c>
      <c r="G2" s="17" t="s">
        <v>134</v>
      </c>
      <c r="H2" s="17" t="s">
        <v>135</v>
      </c>
      <c r="I2" s="17" t="s">
        <v>136</v>
      </c>
      <c r="J2" s="14"/>
      <c r="K2" s="14"/>
      <c r="L2" s="14"/>
      <c r="M2" s="14"/>
      <c r="N2" s="14">
        <v>2309</v>
      </c>
      <c r="O2" s="14" t="s">
        <v>137</v>
      </c>
      <c r="P2" s="14" t="s">
        <v>138</v>
      </c>
      <c r="Q2" s="14" t="s">
        <v>139</v>
      </c>
      <c r="R2" s="14" t="s">
        <v>140</v>
      </c>
      <c r="S2" s="14">
        <v>1</v>
      </c>
      <c r="T2" s="14" t="s">
        <v>141</v>
      </c>
      <c r="U2" s="14" t="s">
        <v>142</v>
      </c>
      <c r="V2" s="14" t="s">
        <v>143</v>
      </c>
      <c r="W2" s="14"/>
      <c r="X2" s="14"/>
      <c r="Y2" s="14"/>
      <c r="Z2" s="14"/>
      <c r="AA2" s="14"/>
      <c r="AB2" s="14"/>
      <c r="AC2" s="14"/>
      <c r="AD2" s="14"/>
      <c r="AE2" s="14"/>
      <c r="AF2" s="14"/>
      <c r="AG2" s="14"/>
    </row>
    <row r="3" spans="2:33">
      <c r="B3" s="14" t="s">
        <v>144</v>
      </c>
      <c r="C3" s="15" t="s">
        <v>95</v>
      </c>
      <c r="D3" s="14"/>
      <c r="E3" s="18" t="s">
        <v>145</v>
      </c>
      <c r="F3" s="19" t="s">
        <v>146</v>
      </c>
      <c r="G3" s="18" t="s">
        <v>147</v>
      </c>
      <c r="H3" s="18" t="s">
        <v>148</v>
      </c>
      <c r="I3" s="18" t="s">
        <v>149</v>
      </c>
      <c r="J3" s="14"/>
      <c r="K3" s="14"/>
      <c r="L3" s="14"/>
      <c r="M3" s="14"/>
      <c r="N3" s="14">
        <v>2298</v>
      </c>
      <c r="O3" s="14" t="s">
        <v>150</v>
      </c>
      <c r="P3" s="14" t="s">
        <v>151</v>
      </c>
      <c r="Q3" s="14" t="s">
        <v>152</v>
      </c>
      <c r="R3" s="14" t="s">
        <v>153</v>
      </c>
      <c r="S3" s="14">
        <v>1</v>
      </c>
      <c r="T3" s="14" t="s">
        <v>154</v>
      </c>
      <c r="U3" s="14" t="s">
        <v>155</v>
      </c>
      <c r="V3" s="14" t="s">
        <v>143</v>
      </c>
      <c r="W3" s="14"/>
      <c r="X3" s="14"/>
      <c r="Y3" s="14"/>
      <c r="Z3" s="14"/>
      <c r="AA3" s="14"/>
      <c r="AB3" s="14"/>
      <c r="AC3" s="14"/>
      <c r="AD3" s="14"/>
      <c r="AE3" s="14"/>
      <c r="AF3" s="14"/>
      <c r="AG3" s="14"/>
    </row>
    <row r="4" spans="2:33">
      <c r="B4" s="14" t="s">
        <v>156</v>
      </c>
      <c r="C4" s="15" t="s">
        <v>157</v>
      </c>
      <c r="D4" s="14"/>
      <c r="E4" s="18" t="s">
        <v>158</v>
      </c>
      <c r="F4" s="19" t="s">
        <v>159</v>
      </c>
      <c r="G4" s="18" t="s">
        <v>160</v>
      </c>
      <c r="H4" s="18" t="s">
        <v>148</v>
      </c>
      <c r="I4" s="18" t="s">
        <v>161</v>
      </c>
      <c r="J4" s="14"/>
      <c r="K4" s="14"/>
      <c r="L4" s="14"/>
      <c r="M4" s="14"/>
      <c r="N4" s="14">
        <v>2136</v>
      </c>
      <c r="O4" s="14" t="s">
        <v>162</v>
      </c>
      <c r="P4" s="14" t="s">
        <v>163</v>
      </c>
      <c r="Q4" s="14" t="s">
        <v>164</v>
      </c>
      <c r="R4" s="14" t="s">
        <v>165</v>
      </c>
      <c r="S4" s="14">
        <v>738</v>
      </c>
      <c r="T4" s="14" t="s">
        <v>166</v>
      </c>
      <c r="U4" s="14" t="s">
        <v>167</v>
      </c>
      <c r="V4" s="14" t="s">
        <v>143</v>
      </c>
      <c r="W4" s="14"/>
      <c r="X4" s="14"/>
      <c r="Y4" s="14"/>
      <c r="Z4" s="14"/>
      <c r="AA4" s="14"/>
      <c r="AB4" s="14"/>
      <c r="AC4" s="14"/>
      <c r="AD4" s="14"/>
      <c r="AE4" s="14"/>
      <c r="AF4" s="14"/>
      <c r="AG4" s="14"/>
    </row>
    <row r="5" spans="2:33">
      <c r="B5" s="14" t="s">
        <v>168</v>
      </c>
      <c r="C5" s="15" t="s">
        <v>169</v>
      </c>
      <c r="D5" s="14"/>
      <c r="E5" s="18" t="s">
        <v>170</v>
      </c>
      <c r="F5" s="19" t="s">
        <v>171</v>
      </c>
      <c r="G5" s="18" t="s">
        <v>172</v>
      </c>
      <c r="H5" s="18" t="s">
        <v>148</v>
      </c>
      <c r="I5" s="20" t="s">
        <v>173</v>
      </c>
      <c r="J5" s="14"/>
      <c r="K5" s="14"/>
      <c r="L5" s="14"/>
      <c r="M5" s="14"/>
      <c r="N5" s="14">
        <v>2079</v>
      </c>
      <c r="O5" s="14" t="s">
        <v>174</v>
      </c>
      <c r="P5" s="14" t="s">
        <v>175</v>
      </c>
      <c r="Q5" s="14" t="s">
        <v>176</v>
      </c>
      <c r="R5" s="14" t="s">
        <v>140</v>
      </c>
      <c r="S5" s="14">
        <v>952</v>
      </c>
      <c r="T5" s="14" t="s">
        <v>177</v>
      </c>
      <c r="U5" s="14" t="s">
        <v>178</v>
      </c>
      <c r="V5" s="14" t="s">
        <v>143</v>
      </c>
      <c r="W5" s="14">
        <v>530</v>
      </c>
      <c r="X5" s="14" t="s">
        <v>179</v>
      </c>
      <c r="Y5" s="14" t="s">
        <v>151</v>
      </c>
      <c r="Z5" s="14" t="s">
        <v>180</v>
      </c>
      <c r="AA5" s="14" t="s">
        <v>165</v>
      </c>
      <c r="AB5" s="14">
        <v>1522</v>
      </c>
      <c r="AC5" s="14" t="s">
        <v>181</v>
      </c>
      <c r="AD5" s="14" t="s">
        <v>182</v>
      </c>
      <c r="AE5" s="14" t="s">
        <v>143</v>
      </c>
      <c r="AF5" s="14"/>
      <c r="AG5" s="14"/>
    </row>
    <row r="6" spans="2:33">
      <c r="B6" s="14" t="s">
        <v>183</v>
      </c>
      <c r="C6" s="15" t="s">
        <v>184</v>
      </c>
      <c r="D6" s="14"/>
      <c r="E6" s="18" t="s">
        <v>185</v>
      </c>
      <c r="F6" s="19" t="s">
        <v>186</v>
      </c>
      <c r="G6" s="18" t="s">
        <v>187</v>
      </c>
      <c r="H6" s="18" t="s">
        <v>148</v>
      </c>
      <c r="I6" s="18" t="s">
        <v>188</v>
      </c>
      <c r="J6" s="14"/>
      <c r="K6" s="14"/>
      <c r="L6" s="14"/>
      <c r="M6" s="14"/>
      <c r="N6" s="14">
        <v>1960</v>
      </c>
      <c r="O6" s="14" t="s">
        <v>189</v>
      </c>
      <c r="P6" s="14" t="s">
        <v>190</v>
      </c>
      <c r="Q6" s="14" t="s">
        <v>191</v>
      </c>
      <c r="R6" s="14" t="s">
        <v>192</v>
      </c>
      <c r="S6" s="14">
        <v>800</v>
      </c>
      <c r="T6" s="14" t="s">
        <v>193</v>
      </c>
      <c r="U6" s="14" t="s">
        <v>194</v>
      </c>
      <c r="V6" s="14" t="s">
        <v>143</v>
      </c>
      <c r="W6" s="14">
        <v>939</v>
      </c>
      <c r="X6" s="14" t="s">
        <v>195</v>
      </c>
      <c r="Y6" s="14" t="s">
        <v>196</v>
      </c>
      <c r="Z6" s="14" t="s">
        <v>197</v>
      </c>
      <c r="AA6" s="14" t="s">
        <v>198</v>
      </c>
      <c r="AB6" s="14">
        <v>1505</v>
      </c>
      <c r="AC6" s="14" t="s">
        <v>199</v>
      </c>
      <c r="AD6" s="14" t="s">
        <v>200</v>
      </c>
      <c r="AE6" s="14" t="s">
        <v>143</v>
      </c>
      <c r="AF6" s="14"/>
      <c r="AG6" s="14"/>
    </row>
    <row r="7" spans="2:33">
      <c r="B7" s="14" t="s">
        <v>201</v>
      </c>
      <c r="C7" s="15" t="s">
        <v>202</v>
      </c>
      <c r="D7" s="14"/>
      <c r="E7" s="18" t="s">
        <v>203</v>
      </c>
      <c r="F7" s="19" t="s">
        <v>95</v>
      </c>
      <c r="G7" s="18" t="s">
        <v>204</v>
      </c>
      <c r="H7" s="18" t="s">
        <v>148</v>
      </c>
      <c r="I7" s="20" t="s">
        <v>205</v>
      </c>
      <c r="J7" s="14"/>
      <c r="K7" s="14"/>
      <c r="L7" s="14"/>
      <c r="M7" s="14"/>
      <c r="N7" s="14">
        <v>1962</v>
      </c>
      <c r="O7" s="14" t="s">
        <v>206</v>
      </c>
      <c r="P7" s="14" t="s">
        <v>207</v>
      </c>
      <c r="Q7" s="14" t="s">
        <v>208</v>
      </c>
      <c r="R7" s="14" t="s">
        <v>140</v>
      </c>
      <c r="S7" s="14">
        <v>1010</v>
      </c>
      <c r="T7" s="14" t="s">
        <v>209</v>
      </c>
      <c r="U7" s="14" t="s">
        <v>194</v>
      </c>
      <c r="V7" s="14" t="s">
        <v>143</v>
      </c>
      <c r="W7" s="14">
        <v>865</v>
      </c>
      <c r="X7" s="14" t="s">
        <v>210</v>
      </c>
      <c r="Y7" s="14" t="s">
        <v>196</v>
      </c>
      <c r="Z7" s="14" t="s">
        <v>211</v>
      </c>
      <c r="AA7" s="14" t="s">
        <v>198</v>
      </c>
      <c r="AB7" s="14">
        <v>1505</v>
      </c>
      <c r="AC7" s="14" t="s">
        <v>212</v>
      </c>
      <c r="AD7" s="14" t="s">
        <v>213</v>
      </c>
      <c r="AE7" s="14" t="s">
        <v>143</v>
      </c>
      <c r="AF7" s="14"/>
      <c r="AG7" s="14"/>
    </row>
    <row r="8" spans="2:33">
      <c r="B8" s="14" t="s">
        <v>214</v>
      </c>
      <c r="C8" s="15" t="s">
        <v>215</v>
      </c>
      <c r="D8" s="14"/>
      <c r="E8" s="18" t="s">
        <v>158</v>
      </c>
      <c r="F8" s="19" t="s">
        <v>169</v>
      </c>
      <c r="G8" s="18" t="s">
        <v>216</v>
      </c>
      <c r="H8" s="18" t="s">
        <v>148</v>
      </c>
      <c r="I8" s="18" t="s">
        <v>217</v>
      </c>
      <c r="J8" s="14"/>
      <c r="K8" s="14"/>
      <c r="L8" s="14"/>
      <c r="M8" s="14"/>
      <c r="N8" s="14">
        <v>1976</v>
      </c>
      <c r="O8" s="14" t="s">
        <v>218</v>
      </c>
      <c r="P8" s="14" t="s">
        <v>219</v>
      </c>
      <c r="Q8" s="14" t="s">
        <v>220</v>
      </c>
      <c r="R8" s="14" t="s">
        <v>140</v>
      </c>
      <c r="S8" s="14">
        <v>1002</v>
      </c>
      <c r="T8" s="14" t="s">
        <v>221</v>
      </c>
      <c r="U8" s="14" t="s">
        <v>194</v>
      </c>
      <c r="V8" s="14" t="s">
        <v>143</v>
      </c>
      <c r="W8" s="14">
        <v>823</v>
      </c>
      <c r="X8" s="14" t="s">
        <v>222</v>
      </c>
      <c r="Y8" s="14" t="s">
        <v>196</v>
      </c>
      <c r="Z8" s="14" t="s">
        <v>211</v>
      </c>
      <c r="AA8" s="14" t="s">
        <v>198</v>
      </c>
      <c r="AB8" s="14">
        <v>1505</v>
      </c>
      <c r="AC8" s="14" t="s">
        <v>223</v>
      </c>
      <c r="AD8" s="14" t="s">
        <v>224</v>
      </c>
      <c r="AE8" s="14" t="s">
        <v>143</v>
      </c>
      <c r="AF8" s="14"/>
      <c r="AG8" s="14"/>
    </row>
    <row r="9" spans="2:33">
      <c r="B9" s="14"/>
      <c r="C9" s="15" t="s">
        <v>225</v>
      </c>
      <c r="D9" s="14"/>
      <c r="E9" s="18" t="s">
        <v>226</v>
      </c>
      <c r="F9" s="19" t="s">
        <v>169</v>
      </c>
      <c r="G9" s="18" t="s">
        <v>227</v>
      </c>
      <c r="H9" s="18" t="s">
        <v>148</v>
      </c>
      <c r="I9" s="21" t="s">
        <v>228</v>
      </c>
      <c r="J9" s="14"/>
      <c r="K9" s="14"/>
      <c r="L9" s="14"/>
      <c r="M9" s="14"/>
      <c r="N9" s="14">
        <v>2219</v>
      </c>
      <c r="O9" s="14" t="s">
        <v>229</v>
      </c>
      <c r="P9" s="14" t="s">
        <v>190</v>
      </c>
      <c r="Q9" s="14" t="s">
        <v>230</v>
      </c>
      <c r="R9" s="14" t="s">
        <v>231</v>
      </c>
      <c r="S9" s="14">
        <v>800</v>
      </c>
      <c r="T9" s="14" t="s">
        <v>232</v>
      </c>
      <c r="U9" s="14" t="s">
        <v>194</v>
      </c>
      <c r="V9" s="14" t="s">
        <v>143</v>
      </c>
      <c r="W9" s="14"/>
      <c r="X9" s="14"/>
      <c r="Y9" s="14"/>
      <c r="Z9" s="14"/>
      <c r="AA9" s="14"/>
      <c r="AB9" s="14"/>
      <c r="AC9" s="14"/>
      <c r="AD9" s="14"/>
      <c r="AE9" s="14"/>
      <c r="AF9" s="14"/>
      <c r="AG9" s="14"/>
    </row>
    <row r="10" spans="2:33">
      <c r="B10" s="14"/>
      <c r="C10" s="15"/>
      <c r="D10" s="14"/>
      <c r="E10" s="18" t="s">
        <v>233</v>
      </c>
      <c r="F10" s="19" t="s">
        <v>169</v>
      </c>
      <c r="G10" s="18" t="s">
        <v>234</v>
      </c>
      <c r="H10" s="18" t="s">
        <v>140</v>
      </c>
      <c r="I10" s="18" t="s">
        <v>235</v>
      </c>
      <c r="J10" s="14"/>
      <c r="K10" s="14"/>
      <c r="L10" s="14"/>
      <c r="M10" s="14"/>
      <c r="N10" s="14">
        <v>1951</v>
      </c>
      <c r="O10" s="14" t="s">
        <v>236</v>
      </c>
      <c r="P10" s="14" t="s">
        <v>237</v>
      </c>
      <c r="Q10" s="14" t="s">
        <v>238</v>
      </c>
      <c r="R10" s="14" t="s">
        <v>239</v>
      </c>
      <c r="S10" s="14">
        <v>400</v>
      </c>
      <c r="T10" s="14" t="s">
        <v>240</v>
      </c>
      <c r="U10" s="14" t="s">
        <v>241</v>
      </c>
      <c r="V10" s="14" t="s">
        <v>143</v>
      </c>
      <c r="W10" s="14"/>
      <c r="X10" s="14"/>
      <c r="Y10" s="14"/>
      <c r="Z10" s="14"/>
      <c r="AA10" s="14"/>
      <c r="AB10" s="14"/>
      <c r="AC10" s="14"/>
      <c r="AD10" s="14"/>
      <c r="AE10" s="14"/>
      <c r="AF10" s="14"/>
      <c r="AG10" s="14"/>
    </row>
    <row r="11" spans="2:33">
      <c r="B11" s="14"/>
      <c r="C11" s="15"/>
      <c r="D11" s="14"/>
      <c r="E11" s="18" t="s">
        <v>242</v>
      </c>
      <c r="F11" s="19" t="s">
        <v>243</v>
      </c>
      <c r="G11" s="18" t="s">
        <v>244</v>
      </c>
      <c r="H11" s="18" t="s">
        <v>245</v>
      </c>
      <c r="I11" s="18" t="s">
        <v>246</v>
      </c>
      <c r="J11" s="14"/>
      <c r="K11" s="14"/>
      <c r="L11" s="14"/>
      <c r="M11" s="14"/>
      <c r="N11" s="14">
        <v>1932</v>
      </c>
      <c r="O11" s="14" t="s">
        <v>247</v>
      </c>
      <c r="P11" s="14" t="s">
        <v>151</v>
      </c>
      <c r="Q11" s="14" t="s">
        <v>248</v>
      </c>
      <c r="R11" s="14" t="s">
        <v>249</v>
      </c>
      <c r="S11" s="14">
        <v>1559</v>
      </c>
      <c r="T11" s="14" t="s">
        <v>181</v>
      </c>
      <c r="U11" s="14" t="s">
        <v>250</v>
      </c>
      <c r="V11" s="14" t="s">
        <v>143</v>
      </c>
      <c r="W11" s="14"/>
      <c r="X11" s="14"/>
      <c r="Y11" s="14"/>
      <c r="Z11" s="14"/>
      <c r="AA11" s="14"/>
      <c r="AB11" s="14"/>
      <c r="AC11" s="14"/>
      <c r="AD11" s="14"/>
      <c r="AE11" s="14"/>
      <c r="AF11" s="14"/>
      <c r="AG11" s="14"/>
    </row>
    <row r="12" spans="2:33">
      <c r="B12" s="14"/>
      <c r="C12" s="15"/>
      <c r="D12" s="14"/>
      <c r="E12" s="18" t="s">
        <v>145</v>
      </c>
      <c r="F12" s="19" t="s">
        <v>251</v>
      </c>
      <c r="G12" s="18" t="s">
        <v>252</v>
      </c>
      <c r="H12" s="18" t="s">
        <v>148</v>
      </c>
      <c r="I12" s="18" t="s">
        <v>253</v>
      </c>
      <c r="J12" s="14"/>
      <c r="K12" s="14"/>
      <c r="L12" s="14"/>
      <c r="M12" s="14"/>
      <c r="N12" s="14">
        <v>1887</v>
      </c>
      <c r="O12" s="14" t="s">
        <v>254</v>
      </c>
      <c r="P12" s="14" t="s">
        <v>255</v>
      </c>
      <c r="Q12" s="14" t="s">
        <v>256</v>
      </c>
      <c r="R12" s="14" t="s">
        <v>140</v>
      </c>
      <c r="S12" s="14">
        <v>306</v>
      </c>
      <c r="T12" s="14" t="s">
        <v>257</v>
      </c>
      <c r="U12" s="14" t="s">
        <v>258</v>
      </c>
      <c r="V12" s="14" t="s">
        <v>143</v>
      </c>
      <c r="W12" s="14"/>
      <c r="X12" s="14"/>
      <c r="Y12" s="14"/>
      <c r="Z12" s="14"/>
      <c r="AA12" s="14"/>
      <c r="AB12" s="14"/>
      <c r="AC12" s="14"/>
      <c r="AD12" s="14"/>
      <c r="AE12" s="14"/>
      <c r="AF12" s="14"/>
      <c r="AG12" s="14"/>
    </row>
    <row r="13" spans="2:33">
      <c r="B13" s="14"/>
      <c r="C13" s="15"/>
      <c r="D13" s="14"/>
      <c r="E13" s="18" t="s">
        <v>259</v>
      </c>
      <c r="F13" s="19" t="s">
        <v>215</v>
      </c>
      <c r="G13" s="18" t="s">
        <v>260</v>
      </c>
      <c r="H13" s="18" t="s">
        <v>140</v>
      </c>
      <c r="I13" s="18" t="s">
        <v>261</v>
      </c>
      <c r="J13" s="14"/>
      <c r="K13" s="14"/>
      <c r="L13" s="14"/>
      <c r="M13" s="14"/>
      <c r="N13" s="14">
        <v>1825</v>
      </c>
      <c r="O13" s="14" t="s">
        <v>262</v>
      </c>
      <c r="P13" s="14" t="s">
        <v>263</v>
      </c>
      <c r="Q13" s="14" t="s">
        <v>264</v>
      </c>
      <c r="R13" s="14" t="s">
        <v>0</v>
      </c>
      <c r="S13" s="14">
        <v>1200</v>
      </c>
      <c r="T13" s="14" t="s">
        <v>265</v>
      </c>
      <c r="U13" s="14" t="s">
        <v>266</v>
      </c>
      <c r="V13" s="14" t="s">
        <v>143</v>
      </c>
      <c r="W13" s="14"/>
      <c r="X13" s="14"/>
      <c r="Y13" s="14"/>
      <c r="Z13" s="14"/>
      <c r="AA13" s="14"/>
      <c r="AB13" s="14"/>
      <c r="AC13" s="14"/>
      <c r="AD13" s="14"/>
      <c r="AE13" s="14"/>
      <c r="AF13" s="14"/>
      <c r="AG13" s="14"/>
    </row>
    <row r="14" spans="2:33">
      <c r="B14" s="14"/>
      <c r="C14" s="15"/>
      <c r="D14" s="14"/>
      <c r="E14" s="18" t="s">
        <v>214</v>
      </c>
      <c r="F14" s="19" t="s">
        <v>215</v>
      </c>
      <c r="G14" s="18" t="s">
        <v>267</v>
      </c>
      <c r="H14" s="18" t="s">
        <v>140</v>
      </c>
      <c r="I14" s="18" t="s">
        <v>268</v>
      </c>
      <c r="J14" s="14"/>
      <c r="K14" s="14"/>
      <c r="L14" s="14"/>
      <c r="M14" s="14"/>
      <c r="N14" s="14">
        <v>1771</v>
      </c>
      <c r="O14" s="14" t="s">
        <v>269</v>
      </c>
      <c r="P14" s="14" t="s">
        <v>255</v>
      </c>
      <c r="Q14" s="14" t="s">
        <v>270</v>
      </c>
      <c r="R14" s="14" t="s">
        <v>140</v>
      </c>
      <c r="S14" s="14">
        <v>306</v>
      </c>
      <c r="T14" s="14" t="s">
        <v>271</v>
      </c>
      <c r="U14" s="14" t="s">
        <v>272</v>
      </c>
      <c r="V14" s="14" t="s">
        <v>143</v>
      </c>
      <c r="W14" s="14"/>
      <c r="X14" s="14"/>
      <c r="Y14" s="14"/>
      <c r="Z14" s="14"/>
      <c r="AA14" s="14"/>
      <c r="AB14" s="14"/>
      <c r="AC14" s="14"/>
      <c r="AD14" s="14"/>
      <c r="AE14" s="14"/>
      <c r="AF14" s="14"/>
      <c r="AG14" s="14"/>
    </row>
    <row r="15" spans="2:33">
      <c r="B15" s="14"/>
      <c r="C15" s="15"/>
      <c r="D15" s="14"/>
      <c r="E15" s="18" t="s">
        <v>273</v>
      </c>
      <c r="F15" s="19" t="s">
        <v>274</v>
      </c>
      <c r="G15" s="18" t="s">
        <v>275</v>
      </c>
      <c r="H15" s="18" t="s">
        <v>276</v>
      </c>
      <c r="I15" s="18" t="s">
        <v>277</v>
      </c>
      <c r="J15" s="14"/>
      <c r="K15" s="14"/>
      <c r="L15" s="14"/>
      <c r="M15" s="14"/>
      <c r="N15" s="14">
        <v>1815</v>
      </c>
      <c r="O15" s="14" t="s">
        <v>278</v>
      </c>
      <c r="P15" s="14" t="s">
        <v>279</v>
      </c>
      <c r="Q15" s="14" t="s">
        <v>280</v>
      </c>
      <c r="R15" s="14" t="s">
        <v>140</v>
      </c>
      <c r="S15" s="14">
        <v>400</v>
      </c>
      <c r="T15" s="14" t="s">
        <v>281</v>
      </c>
      <c r="U15" s="14" t="s">
        <v>272</v>
      </c>
      <c r="V15" s="14" t="s">
        <v>143</v>
      </c>
      <c r="W15" s="14"/>
      <c r="X15" s="14"/>
      <c r="Y15" s="14"/>
      <c r="Z15" s="14"/>
      <c r="AA15" s="14"/>
      <c r="AB15" s="14"/>
      <c r="AC15" s="14"/>
      <c r="AD15" s="14"/>
      <c r="AE15" s="14"/>
      <c r="AF15" s="14"/>
      <c r="AG15" s="14"/>
    </row>
    <row r="16" spans="2:33">
      <c r="B16" s="14"/>
      <c r="C16" s="15"/>
      <c r="D16" s="14"/>
      <c r="E16" s="18" t="s">
        <v>214</v>
      </c>
      <c r="F16" s="19" t="s">
        <v>225</v>
      </c>
      <c r="G16" s="18" t="s">
        <v>282</v>
      </c>
      <c r="H16" s="18" t="s">
        <v>140</v>
      </c>
      <c r="I16" s="18" t="s">
        <v>283</v>
      </c>
      <c r="J16" s="14"/>
      <c r="K16" s="14"/>
      <c r="L16" s="14"/>
      <c r="M16" s="14"/>
      <c r="N16" s="14">
        <v>1647</v>
      </c>
      <c r="O16" s="14" t="s">
        <v>284</v>
      </c>
      <c r="P16" s="14" t="s">
        <v>190</v>
      </c>
      <c r="Q16" s="14" t="s">
        <v>285</v>
      </c>
      <c r="R16" s="14" t="s">
        <v>140</v>
      </c>
      <c r="S16" s="14">
        <v>1024</v>
      </c>
      <c r="T16" s="14" t="s">
        <v>286</v>
      </c>
      <c r="U16" s="14" t="s">
        <v>287</v>
      </c>
      <c r="V16" s="14" t="s">
        <v>143</v>
      </c>
      <c r="W16" s="14"/>
      <c r="X16" s="14"/>
      <c r="Y16" s="14"/>
      <c r="Z16" s="14"/>
      <c r="AA16" s="14"/>
      <c r="AB16" s="14"/>
      <c r="AC16" s="14"/>
      <c r="AD16" s="14"/>
      <c r="AE16" s="14"/>
      <c r="AF16" s="14"/>
      <c r="AG16" s="14"/>
    </row>
    <row r="17" spans="2:33">
      <c r="B17" s="14"/>
      <c r="C17" s="15"/>
      <c r="D17" s="14"/>
      <c r="E17" s="18" t="s">
        <v>170</v>
      </c>
      <c r="F17" s="19" t="s">
        <v>288</v>
      </c>
      <c r="G17" s="18" t="s">
        <v>289</v>
      </c>
      <c r="H17" s="18" t="s">
        <v>148</v>
      </c>
      <c r="I17" s="20" t="s">
        <v>173</v>
      </c>
      <c r="J17" s="14"/>
      <c r="K17" s="14"/>
      <c r="L17" s="14"/>
      <c r="M17" s="14"/>
      <c r="N17" s="14">
        <v>185</v>
      </c>
      <c r="O17" s="14" t="s">
        <v>290</v>
      </c>
      <c r="P17" s="14" t="s">
        <v>291</v>
      </c>
      <c r="Q17" s="14" t="s">
        <v>292</v>
      </c>
      <c r="R17" s="14" t="s">
        <v>293</v>
      </c>
      <c r="S17" s="14">
        <v>400</v>
      </c>
      <c r="T17" s="14" t="s">
        <v>294</v>
      </c>
      <c r="U17" s="14" t="s">
        <v>295</v>
      </c>
      <c r="V17" s="14" t="s">
        <v>143</v>
      </c>
      <c r="W17" s="14"/>
      <c r="X17" s="14"/>
      <c r="Y17" s="14"/>
      <c r="Z17" s="14"/>
      <c r="AA17" s="14"/>
      <c r="AB17" s="14"/>
      <c r="AC17" s="14"/>
      <c r="AD17" s="14"/>
      <c r="AE17" s="14"/>
      <c r="AF17" s="14"/>
      <c r="AG17" s="14"/>
    </row>
    <row r="18" spans="2:33">
      <c r="B18" s="14"/>
      <c r="C18" s="15"/>
      <c r="D18" s="14"/>
      <c r="E18" s="244" t="s">
        <v>296</v>
      </c>
      <c r="F18" s="244"/>
      <c r="G18" s="244"/>
      <c r="H18" s="244"/>
      <c r="I18" s="244"/>
      <c r="J18" s="14"/>
      <c r="K18" s="14"/>
      <c r="L18" s="14"/>
      <c r="M18" s="14"/>
      <c r="N18" s="14"/>
      <c r="O18" s="14"/>
      <c r="P18" s="14"/>
      <c r="Q18" s="14"/>
      <c r="R18" s="14"/>
      <c r="S18" s="14"/>
      <c r="T18" s="14"/>
      <c r="U18" s="14"/>
      <c r="V18" s="14"/>
      <c r="W18" s="14"/>
      <c r="X18" s="14"/>
      <c r="Y18" s="14"/>
      <c r="Z18" s="14"/>
      <c r="AA18" s="14"/>
      <c r="AB18" s="14"/>
      <c r="AC18" s="14"/>
      <c r="AD18" s="14"/>
      <c r="AE18" s="14"/>
      <c r="AF18" s="14"/>
      <c r="AG18" s="14"/>
    </row>
    <row r="19" spans="2:33">
      <c r="B19" s="14"/>
      <c r="C19" s="15"/>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row>
    <row r="20" spans="2:33" ht="15">
      <c r="B20" s="14"/>
      <c r="C20" s="15"/>
      <c r="D20" s="14"/>
      <c r="E20" s="245" t="s">
        <v>297</v>
      </c>
      <c r="F20" s="245"/>
      <c r="G20" s="245"/>
      <c r="H20" s="245"/>
      <c r="I20" s="245"/>
      <c r="J20" s="24"/>
      <c r="K20" s="24"/>
      <c r="Q20" s="24"/>
      <c r="R20" s="24"/>
      <c r="X20" s="14"/>
      <c r="Y20" s="14"/>
      <c r="Z20" s="14"/>
      <c r="AA20" s="14"/>
      <c r="AB20" s="14"/>
      <c r="AC20" s="14"/>
      <c r="AD20" s="14"/>
      <c r="AE20" s="14"/>
      <c r="AF20" s="14"/>
      <c r="AG20" s="14"/>
    </row>
    <row r="21" spans="2:33" ht="15">
      <c r="B21" s="14"/>
      <c r="C21" s="15"/>
      <c r="D21" s="14"/>
      <c r="E21" s="22" t="s">
        <v>132</v>
      </c>
      <c r="F21" s="22" t="s">
        <v>2</v>
      </c>
      <c r="G21" s="22" t="s">
        <v>134</v>
      </c>
      <c r="H21" s="22" t="s">
        <v>298</v>
      </c>
      <c r="I21" s="22" t="s">
        <v>136</v>
      </c>
      <c r="J21" s="24"/>
      <c r="K21" s="24"/>
      <c r="Q21" s="24"/>
      <c r="R21" s="24"/>
      <c r="X21" s="14"/>
      <c r="Y21" s="14"/>
      <c r="Z21" s="14"/>
      <c r="AA21" s="14"/>
      <c r="AB21" s="14"/>
      <c r="AC21" s="14"/>
      <c r="AD21" s="14"/>
      <c r="AE21" s="14"/>
      <c r="AF21" s="14"/>
      <c r="AG21" s="14"/>
    </row>
    <row r="22" spans="2:33" ht="15">
      <c r="B22" s="14"/>
      <c r="C22" s="15"/>
      <c r="D22" s="14"/>
      <c r="E22" s="23" t="s">
        <v>145</v>
      </c>
      <c r="F22" s="23" t="s">
        <v>146</v>
      </c>
      <c r="G22" s="23" t="s">
        <v>147</v>
      </c>
      <c r="H22" s="23" t="s">
        <v>148</v>
      </c>
      <c r="I22" s="23" t="s">
        <v>299</v>
      </c>
      <c r="J22" s="24"/>
      <c r="K22" s="24"/>
      <c r="Q22" s="24"/>
      <c r="R22" s="24"/>
      <c r="X22" s="14"/>
      <c r="Y22" s="14"/>
      <c r="Z22" s="14"/>
      <c r="AA22" s="14"/>
      <c r="AB22" s="14"/>
      <c r="AC22" s="14"/>
      <c r="AD22" s="14"/>
      <c r="AE22" s="14"/>
      <c r="AF22" s="14"/>
      <c r="AG22" s="14"/>
    </row>
    <row r="23" spans="2:33" ht="15">
      <c r="B23" s="14"/>
      <c r="C23" s="15"/>
      <c r="D23" s="14"/>
      <c r="E23" s="23" t="s">
        <v>158</v>
      </c>
      <c r="F23" s="23">
        <v>2011</v>
      </c>
      <c r="G23" s="23" t="s">
        <v>160</v>
      </c>
      <c r="H23" s="23" t="s">
        <v>148</v>
      </c>
      <c r="I23" s="23" t="s">
        <v>161</v>
      </c>
      <c r="J23" s="24"/>
      <c r="K23" s="24"/>
      <c r="Q23" s="24"/>
      <c r="R23" s="24"/>
      <c r="X23" s="14"/>
      <c r="Y23" s="14"/>
      <c r="Z23" s="14"/>
      <c r="AA23" s="14"/>
      <c r="AB23" s="14"/>
      <c r="AC23" s="14"/>
      <c r="AD23" s="14"/>
      <c r="AE23" s="14"/>
      <c r="AF23" s="14"/>
      <c r="AG23" s="14"/>
    </row>
    <row r="24" spans="2:33" ht="15">
      <c r="B24" s="14"/>
      <c r="C24" s="15"/>
      <c r="D24" s="14"/>
      <c r="E24" s="23" t="s">
        <v>300</v>
      </c>
      <c r="F24" s="242">
        <v>2012</v>
      </c>
      <c r="G24" s="242" t="s">
        <v>172</v>
      </c>
      <c r="H24" s="242" t="s">
        <v>148</v>
      </c>
      <c r="I24" s="242" t="s">
        <v>173</v>
      </c>
      <c r="J24" s="24"/>
      <c r="K24" s="24"/>
      <c r="Q24" s="24"/>
      <c r="R24" s="24"/>
      <c r="X24" s="14"/>
      <c r="Y24" s="14"/>
      <c r="Z24" s="14"/>
      <c r="AA24" s="14"/>
      <c r="AB24" s="14"/>
      <c r="AC24" s="14"/>
      <c r="AD24" s="14"/>
      <c r="AE24" s="14"/>
      <c r="AF24" s="14"/>
      <c r="AG24" s="14"/>
    </row>
    <row r="25" spans="2:33" ht="15">
      <c r="B25" s="14"/>
      <c r="C25" s="15"/>
      <c r="D25" s="14"/>
      <c r="E25" s="23" t="s">
        <v>170</v>
      </c>
      <c r="F25" s="242"/>
      <c r="G25" s="242"/>
      <c r="H25" s="242"/>
      <c r="I25" s="242"/>
      <c r="J25" s="24"/>
      <c r="K25" s="24"/>
      <c r="Q25" s="24"/>
      <c r="R25" s="24"/>
      <c r="X25" s="14"/>
      <c r="Y25" s="14"/>
      <c r="Z25" s="14"/>
      <c r="AA25" s="14"/>
      <c r="AB25" s="14"/>
      <c r="AC25" s="14"/>
      <c r="AD25" s="14"/>
      <c r="AE25" s="14"/>
      <c r="AF25" s="14"/>
      <c r="AG25" s="14"/>
    </row>
    <row r="26" spans="2:33" ht="15">
      <c r="B26" s="14"/>
      <c r="C26" s="15"/>
      <c r="D26" s="14"/>
      <c r="E26" s="23" t="s">
        <v>185</v>
      </c>
      <c r="F26" s="23" t="s">
        <v>186</v>
      </c>
      <c r="G26" s="23" t="s">
        <v>187</v>
      </c>
      <c r="H26" s="23" t="s">
        <v>148</v>
      </c>
      <c r="I26" s="23" t="s">
        <v>301</v>
      </c>
      <c r="J26" s="24"/>
      <c r="K26" s="24"/>
      <c r="Q26" s="24"/>
      <c r="R26" s="24"/>
      <c r="X26" s="14"/>
      <c r="Y26" s="14"/>
      <c r="Z26" s="14"/>
      <c r="AA26" s="14"/>
      <c r="AB26" s="14"/>
      <c r="AC26" s="14"/>
      <c r="AD26" s="14"/>
      <c r="AE26" s="14"/>
      <c r="AF26" s="14"/>
      <c r="AG26" s="14"/>
    </row>
    <row r="27" spans="2:33" ht="15">
      <c r="B27" s="14"/>
      <c r="C27" s="15"/>
      <c r="D27" s="14"/>
      <c r="E27" s="23" t="s">
        <v>203</v>
      </c>
      <c r="F27" s="23" t="s">
        <v>95</v>
      </c>
      <c r="G27" s="23" t="s">
        <v>204</v>
      </c>
      <c r="H27" s="23" t="s">
        <v>148</v>
      </c>
      <c r="I27" s="23" t="s">
        <v>205</v>
      </c>
      <c r="J27" s="24"/>
      <c r="K27" s="24"/>
      <c r="Q27" s="24"/>
      <c r="R27" s="24"/>
      <c r="X27" s="14"/>
      <c r="Y27" s="14"/>
      <c r="Z27" s="14"/>
      <c r="AA27" s="14"/>
      <c r="AB27" s="14"/>
      <c r="AC27" s="14"/>
      <c r="AD27" s="14"/>
      <c r="AE27" s="14"/>
      <c r="AF27" s="14"/>
      <c r="AG27" s="14"/>
    </row>
    <row r="28" spans="2:33" ht="15">
      <c r="B28" s="14"/>
      <c r="C28" s="15"/>
      <c r="D28" s="14"/>
      <c r="E28" s="23" t="s">
        <v>158</v>
      </c>
      <c r="F28" s="23">
        <v>2013</v>
      </c>
      <c r="G28" s="23" t="s">
        <v>216</v>
      </c>
      <c r="H28" s="23" t="s">
        <v>148</v>
      </c>
      <c r="I28" s="23" t="s">
        <v>302</v>
      </c>
      <c r="J28" s="24"/>
      <c r="K28" s="24"/>
      <c r="Q28" s="24"/>
      <c r="R28" s="24"/>
      <c r="S28" s="24"/>
      <c r="T28" s="24"/>
      <c r="U28" s="24"/>
      <c r="V28" s="24"/>
      <c r="W28" s="24"/>
      <c r="X28" s="14"/>
      <c r="Y28" s="14"/>
      <c r="Z28" s="14"/>
      <c r="AA28" s="14"/>
      <c r="AB28" s="14"/>
      <c r="AC28" s="14"/>
      <c r="AD28" s="14"/>
      <c r="AE28" s="14"/>
      <c r="AF28" s="14"/>
      <c r="AG28" s="14"/>
    </row>
    <row r="29" spans="2:33" ht="15">
      <c r="B29" s="14"/>
      <c r="C29" s="15"/>
      <c r="D29" s="14"/>
      <c r="E29" s="242" t="s">
        <v>296</v>
      </c>
      <c r="F29" s="242"/>
      <c r="G29" s="242"/>
      <c r="H29" s="242"/>
      <c r="I29" s="242"/>
      <c r="J29" s="24"/>
      <c r="K29" s="24"/>
      <c r="L29" s="24"/>
      <c r="M29" s="24"/>
      <c r="N29" s="24"/>
      <c r="O29" s="24"/>
      <c r="P29" s="24"/>
      <c r="Q29" s="24"/>
      <c r="R29" s="24"/>
      <c r="S29" s="24"/>
      <c r="T29" s="24"/>
      <c r="U29" s="24"/>
      <c r="V29" s="24"/>
      <c r="W29" s="24"/>
      <c r="X29" s="14"/>
      <c r="Y29" s="14"/>
      <c r="Z29" s="14"/>
      <c r="AA29" s="14"/>
      <c r="AB29" s="14"/>
      <c r="AC29" s="14"/>
      <c r="AD29" s="14"/>
      <c r="AE29" s="14"/>
      <c r="AF29" s="14"/>
      <c r="AG29" s="14"/>
    </row>
    <row r="30" spans="2:33">
      <c r="B30" s="14"/>
      <c r="C30" s="15"/>
      <c r="D30" s="14"/>
      <c r="E30" s="24"/>
      <c r="F30" s="24"/>
      <c r="G30" s="24"/>
      <c r="H30" s="24"/>
      <c r="I30" s="24"/>
      <c r="J30" s="24"/>
      <c r="K30" s="24"/>
      <c r="L30" s="24"/>
      <c r="M30" s="24"/>
      <c r="N30" s="24"/>
      <c r="O30" s="24"/>
      <c r="P30" s="24"/>
      <c r="Q30" s="24"/>
      <c r="R30" s="24"/>
      <c r="S30" s="24"/>
      <c r="T30" s="24"/>
      <c r="U30" s="24"/>
      <c r="V30" s="24"/>
      <c r="W30" s="24"/>
      <c r="X30" s="14"/>
      <c r="Y30" s="14"/>
      <c r="Z30" s="14"/>
      <c r="AA30" s="14"/>
      <c r="AB30" s="14"/>
      <c r="AC30" s="14"/>
      <c r="AD30" s="14"/>
      <c r="AE30" s="14"/>
      <c r="AF30" s="14"/>
      <c r="AG30" s="14"/>
    </row>
    <row r="31" spans="2:33" ht="15">
      <c r="B31" s="14"/>
      <c r="C31" s="15"/>
      <c r="D31" s="14"/>
      <c r="E31" s="245" t="s">
        <v>303</v>
      </c>
      <c r="F31" s="245"/>
      <c r="G31" s="245"/>
      <c r="H31" s="245"/>
      <c r="I31" s="245"/>
      <c r="J31" s="14"/>
      <c r="K31" s="14"/>
      <c r="L31" s="14"/>
      <c r="M31" s="14"/>
      <c r="N31" s="14"/>
      <c r="O31" s="14"/>
      <c r="P31" s="14"/>
      <c r="Q31" s="14"/>
      <c r="R31" s="14"/>
      <c r="S31" s="14"/>
      <c r="T31" s="14"/>
      <c r="U31" s="14"/>
      <c r="V31" s="14"/>
      <c r="W31" s="14"/>
      <c r="X31" s="14"/>
      <c r="Y31" s="14"/>
      <c r="Z31" s="14"/>
      <c r="AA31" s="14"/>
      <c r="AB31" s="14"/>
      <c r="AC31" s="14"/>
      <c r="AD31" s="14"/>
      <c r="AE31" s="14"/>
      <c r="AF31" s="14"/>
      <c r="AG31" s="14"/>
    </row>
    <row r="32" spans="2:33" ht="15">
      <c r="B32" s="14"/>
      <c r="C32" s="15"/>
      <c r="D32" s="14"/>
      <c r="E32" s="22" t="s">
        <v>132</v>
      </c>
      <c r="F32" s="22" t="s">
        <v>2</v>
      </c>
      <c r="G32" s="22" t="s">
        <v>134</v>
      </c>
      <c r="H32" s="22" t="s">
        <v>135</v>
      </c>
      <c r="I32" s="22" t="s">
        <v>136</v>
      </c>
      <c r="J32" s="14"/>
      <c r="K32" s="14"/>
      <c r="L32" s="14"/>
      <c r="M32" s="14"/>
      <c r="N32" s="14"/>
      <c r="O32" s="14"/>
      <c r="P32" s="14"/>
      <c r="Q32" s="14"/>
      <c r="R32" s="14"/>
      <c r="S32" s="14"/>
      <c r="T32" s="14"/>
      <c r="U32" s="14"/>
      <c r="V32" s="14"/>
      <c r="W32" s="14"/>
      <c r="X32" s="14"/>
      <c r="Y32" s="14"/>
      <c r="Z32" s="14"/>
      <c r="AA32" s="14"/>
      <c r="AB32" s="14"/>
      <c r="AC32" s="14"/>
      <c r="AD32" s="14"/>
      <c r="AE32" s="14"/>
      <c r="AF32" s="14"/>
      <c r="AG32" s="14"/>
    </row>
    <row r="33" spans="2:33" ht="15">
      <c r="B33" s="14"/>
      <c r="C33" s="15"/>
      <c r="D33" s="14"/>
      <c r="E33" s="23" t="s">
        <v>226</v>
      </c>
      <c r="F33" s="23">
        <v>2013</v>
      </c>
      <c r="G33" s="23" t="s">
        <v>227</v>
      </c>
      <c r="H33" s="23" t="s">
        <v>148</v>
      </c>
      <c r="I33" s="23" t="s">
        <v>228</v>
      </c>
      <c r="J33" s="14"/>
      <c r="K33" s="14"/>
      <c r="L33" s="14"/>
      <c r="M33" s="14"/>
      <c r="N33" s="14"/>
      <c r="O33" s="14"/>
      <c r="P33" s="14"/>
      <c r="Q33" s="14"/>
      <c r="R33" s="14"/>
      <c r="S33" s="14"/>
      <c r="T33" s="14"/>
      <c r="U33" s="14"/>
      <c r="V33" s="14"/>
      <c r="W33" s="14"/>
      <c r="X33" s="14"/>
      <c r="Y33" s="14"/>
      <c r="Z33" s="14"/>
      <c r="AA33" s="14"/>
      <c r="AB33" s="14"/>
      <c r="AC33" s="14"/>
      <c r="AD33" s="14"/>
      <c r="AE33" s="14"/>
      <c r="AF33" s="14"/>
      <c r="AG33" s="14"/>
    </row>
    <row r="34" spans="2:33" ht="15">
      <c r="B34" s="14"/>
      <c r="C34" s="15"/>
      <c r="D34" s="14"/>
      <c r="E34" s="23" t="s">
        <v>304</v>
      </c>
      <c r="F34" s="23">
        <v>2013</v>
      </c>
      <c r="G34" s="23" t="s">
        <v>234</v>
      </c>
      <c r="H34" s="23" t="s">
        <v>140</v>
      </c>
      <c r="I34" s="23" t="s">
        <v>235</v>
      </c>
      <c r="J34" s="14"/>
      <c r="K34" s="14"/>
      <c r="L34" s="14"/>
      <c r="M34" s="14"/>
      <c r="N34" s="14"/>
      <c r="O34" s="14"/>
      <c r="P34" s="14"/>
      <c r="Q34" s="14"/>
      <c r="R34" s="14"/>
      <c r="S34" s="14"/>
      <c r="T34" s="14"/>
      <c r="U34" s="14"/>
      <c r="V34" s="14"/>
      <c r="W34" s="14"/>
      <c r="X34" s="14"/>
      <c r="Y34" s="14"/>
      <c r="Z34" s="14"/>
      <c r="AA34" s="14"/>
      <c r="AB34" s="14"/>
      <c r="AC34" s="14"/>
      <c r="AD34" s="14"/>
      <c r="AE34" s="14"/>
      <c r="AF34" s="14"/>
      <c r="AG34" s="14"/>
    </row>
    <row r="35" spans="2:33" ht="15">
      <c r="B35" s="14"/>
      <c r="C35" s="15"/>
      <c r="D35" s="14"/>
      <c r="E35" s="23" t="s">
        <v>242</v>
      </c>
      <c r="F35" s="23" t="s">
        <v>243</v>
      </c>
      <c r="G35" s="23" t="s">
        <v>244</v>
      </c>
      <c r="H35" s="23" t="s">
        <v>245</v>
      </c>
      <c r="I35" s="23" t="s">
        <v>246</v>
      </c>
      <c r="J35" s="14"/>
      <c r="K35" s="14"/>
      <c r="L35" s="14"/>
      <c r="M35" s="14"/>
      <c r="N35" s="14"/>
      <c r="O35" s="14"/>
      <c r="P35" s="14"/>
      <c r="Q35" s="14"/>
      <c r="R35" s="14"/>
      <c r="S35" s="14"/>
      <c r="T35" s="14"/>
      <c r="U35" s="14"/>
      <c r="V35" s="14"/>
      <c r="W35" s="14"/>
      <c r="X35" s="14"/>
      <c r="Y35" s="14"/>
      <c r="Z35" s="14"/>
      <c r="AA35" s="14"/>
      <c r="AB35" s="14"/>
      <c r="AC35" s="14"/>
      <c r="AD35" s="14"/>
      <c r="AE35" s="14"/>
      <c r="AF35" s="14"/>
      <c r="AG35" s="14"/>
    </row>
    <row r="36" spans="2:33" ht="15">
      <c r="B36" s="14"/>
      <c r="C36" s="15"/>
      <c r="D36" s="14"/>
      <c r="E36" s="23" t="s">
        <v>145</v>
      </c>
      <c r="F36" s="25">
        <v>41640</v>
      </c>
      <c r="G36" s="23" t="s">
        <v>252</v>
      </c>
      <c r="H36" s="23" t="s">
        <v>148</v>
      </c>
      <c r="I36" s="23" t="s">
        <v>305</v>
      </c>
      <c r="J36" s="14"/>
      <c r="K36" s="14"/>
      <c r="L36" s="14"/>
      <c r="M36" s="14"/>
      <c r="N36" s="14"/>
      <c r="O36" s="14"/>
      <c r="P36" s="14"/>
      <c r="Q36" s="14"/>
      <c r="R36" s="14"/>
      <c r="S36" s="14"/>
      <c r="T36" s="14"/>
      <c r="U36" s="14"/>
      <c r="V36" s="14"/>
      <c r="W36" s="14"/>
      <c r="X36" s="14"/>
      <c r="Y36" s="14"/>
      <c r="Z36" s="14"/>
      <c r="AA36" s="14"/>
      <c r="AB36" s="14"/>
      <c r="AC36" s="14"/>
      <c r="AD36" s="14"/>
      <c r="AE36" s="14"/>
      <c r="AF36" s="14"/>
      <c r="AG36" s="14"/>
    </row>
    <row r="37" spans="2:33" ht="15">
      <c r="B37" s="14"/>
      <c r="C37" s="15"/>
      <c r="D37" s="14"/>
      <c r="E37" s="23" t="s">
        <v>259</v>
      </c>
      <c r="F37" s="25">
        <v>41699</v>
      </c>
      <c r="G37" s="23" t="s">
        <v>260</v>
      </c>
      <c r="H37" s="23" t="s">
        <v>140</v>
      </c>
      <c r="I37" s="23" t="s">
        <v>261</v>
      </c>
      <c r="J37" s="14"/>
      <c r="K37" s="14"/>
      <c r="L37" s="14"/>
      <c r="M37" s="14"/>
      <c r="N37" s="14"/>
      <c r="O37" s="14"/>
      <c r="P37" s="14"/>
      <c r="Q37" s="14"/>
      <c r="R37" s="14"/>
      <c r="S37" s="14"/>
      <c r="T37" s="14"/>
      <c r="U37" s="14"/>
      <c r="V37" s="14"/>
      <c r="W37" s="14"/>
      <c r="X37" s="14"/>
      <c r="Y37" s="14"/>
      <c r="Z37" s="14"/>
      <c r="AA37" s="14"/>
      <c r="AB37" s="14"/>
      <c r="AC37" s="14"/>
      <c r="AD37" s="14"/>
      <c r="AE37" s="14"/>
      <c r="AF37" s="14"/>
      <c r="AG37" s="14"/>
    </row>
    <row r="38" spans="2:33" ht="15">
      <c r="B38" s="14"/>
      <c r="C38" s="15"/>
      <c r="D38" s="14"/>
      <c r="E38" s="23" t="s">
        <v>214</v>
      </c>
      <c r="F38" s="25">
        <v>41699</v>
      </c>
      <c r="G38" s="23" t="s">
        <v>267</v>
      </c>
      <c r="H38" s="23" t="s">
        <v>140</v>
      </c>
      <c r="I38" s="23" t="s">
        <v>306</v>
      </c>
      <c r="J38" s="14"/>
      <c r="K38" s="14"/>
      <c r="L38" s="14"/>
      <c r="M38" s="14"/>
      <c r="N38" s="14"/>
      <c r="O38" s="14"/>
      <c r="P38" s="14"/>
      <c r="Q38" s="14"/>
      <c r="R38" s="14"/>
      <c r="S38" s="14"/>
      <c r="T38" s="14"/>
      <c r="U38" s="14"/>
      <c r="V38" s="14"/>
      <c r="W38" s="14"/>
      <c r="X38" s="14"/>
      <c r="Y38" s="14"/>
      <c r="Z38" s="14"/>
      <c r="AA38" s="14"/>
      <c r="AB38" s="14"/>
      <c r="AC38" s="14"/>
      <c r="AD38" s="14"/>
      <c r="AE38" s="14"/>
      <c r="AF38" s="14"/>
      <c r="AG38" s="14"/>
    </row>
    <row r="39" spans="2:33" ht="15">
      <c r="B39" s="14"/>
      <c r="C39" s="15"/>
      <c r="D39" s="14"/>
      <c r="E39" s="242" t="s">
        <v>296</v>
      </c>
      <c r="F39" s="242"/>
      <c r="G39" s="242"/>
      <c r="H39" s="242"/>
      <c r="I39" s="242"/>
      <c r="J39" s="14"/>
      <c r="K39" s="14"/>
      <c r="L39" s="14"/>
      <c r="M39" s="14"/>
      <c r="N39" s="14"/>
      <c r="O39" s="14"/>
      <c r="P39" s="14"/>
      <c r="Q39" s="14"/>
      <c r="R39" s="14"/>
      <c r="S39" s="14"/>
      <c r="T39" s="14"/>
      <c r="U39" s="14"/>
      <c r="V39" s="14"/>
      <c r="W39" s="14"/>
      <c r="X39" s="14"/>
      <c r="Y39" s="14"/>
      <c r="Z39" s="14"/>
      <c r="AA39" s="14"/>
      <c r="AB39" s="14"/>
      <c r="AC39" s="14"/>
      <c r="AD39" s="14"/>
      <c r="AE39" s="14"/>
      <c r="AF39" s="14"/>
      <c r="AG39" s="14"/>
    </row>
    <row r="40" spans="2:33">
      <c r="B40" s="14"/>
      <c r="C40" s="15"/>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row>
    <row r="41" spans="2:33" ht="15">
      <c r="B41" s="14"/>
      <c r="C41" s="15"/>
      <c r="D41" s="14"/>
      <c r="E41" s="245" t="s">
        <v>303</v>
      </c>
      <c r="F41" s="245"/>
      <c r="G41" s="245"/>
      <c r="H41" s="245"/>
      <c r="I41" s="245"/>
      <c r="J41" s="14"/>
      <c r="K41" s="14"/>
      <c r="L41" s="14"/>
      <c r="M41" s="14"/>
      <c r="N41" s="14"/>
      <c r="O41" s="14"/>
      <c r="P41" s="14"/>
      <c r="Q41" s="14"/>
      <c r="R41" s="14"/>
      <c r="S41" s="14"/>
      <c r="T41" s="14"/>
      <c r="U41" s="14"/>
      <c r="V41" s="14"/>
      <c r="W41" s="14"/>
      <c r="X41" s="14"/>
      <c r="Y41" s="14"/>
      <c r="Z41" s="14"/>
      <c r="AA41" s="14"/>
      <c r="AB41" s="14"/>
      <c r="AC41" s="14"/>
      <c r="AD41" s="14"/>
      <c r="AE41" s="14"/>
      <c r="AF41" s="14"/>
      <c r="AG41" s="14"/>
    </row>
    <row r="42" spans="2:33" ht="15">
      <c r="B42" s="14"/>
      <c r="C42" s="15"/>
      <c r="D42" s="14"/>
      <c r="E42" s="22" t="s">
        <v>132</v>
      </c>
      <c r="F42" s="22" t="s">
        <v>2</v>
      </c>
      <c r="G42" s="22" t="s">
        <v>134</v>
      </c>
      <c r="H42" s="22" t="s">
        <v>135</v>
      </c>
      <c r="I42" s="22" t="s">
        <v>136</v>
      </c>
      <c r="J42" s="14"/>
      <c r="K42" s="14"/>
      <c r="L42" s="14"/>
      <c r="M42" s="14"/>
      <c r="N42" s="14"/>
      <c r="O42" s="14"/>
      <c r="P42" s="14"/>
      <c r="Q42" s="14"/>
      <c r="R42" s="14"/>
      <c r="S42" s="14"/>
      <c r="T42" s="14"/>
      <c r="U42" s="14"/>
      <c r="V42" s="14"/>
      <c r="W42" s="14"/>
      <c r="X42" s="14"/>
      <c r="Y42" s="14"/>
      <c r="Z42" s="14"/>
      <c r="AA42" s="14"/>
      <c r="AB42" s="14"/>
      <c r="AC42" s="14"/>
      <c r="AD42" s="14"/>
      <c r="AE42" s="14"/>
      <c r="AF42" s="14"/>
      <c r="AG42" s="14"/>
    </row>
    <row r="43" spans="2:33" ht="15">
      <c r="B43" s="14"/>
      <c r="C43" s="15"/>
      <c r="D43" s="14"/>
      <c r="E43" s="23" t="s">
        <v>307</v>
      </c>
      <c r="F43" s="23" t="s">
        <v>274</v>
      </c>
      <c r="G43" s="23" t="s">
        <v>275</v>
      </c>
      <c r="H43" s="23" t="s">
        <v>276</v>
      </c>
      <c r="I43" s="23" t="s">
        <v>277</v>
      </c>
      <c r="J43" s="14"/>
      <c r="K43" s="14"/>
      <c r="L43" s="14"/>
      <c r="M43" s="14"/>
      <c r="N43" s="14"/>
      <c r="O43" s="14"/>
      <c r="P43" s="14"/>
      <c r="Q43" s="14"/>
      <c r="R43" s="14"/>
      <c r="S43" s="14"/>
      <c r="T43" s="14"/>
      <c r="U43" s="14"/>
      <c r="V43" s="14"/>
      <c r="W43" s="14"/>
      <c r="X43" s="14"/>
      <c r="Y43" s="14"/>
      <c r="Z43" s="14"/>
      <c r="AA43" s="14"/>
      <c r="AB43" s="14"/>
      <c r="AC43" s="14"/>
      <c r="AD43" s="14"/>
      <c r="AE43" s="14"/>
      <c r="AF43" s="14"/>
      <c r="AG43" s="14"/>
    </row>
    <row r="44" spans="2:33" ht="15">
      <c r="B44" s="14"/>
      <c r="C44" s="15"/>
      <c r="D44" s="14"/>
      <c r="E44" s="23" t="s">
        <v>214</v>
      </c>
      <c r="F44" s="25">
        <v>41760</v>
      </c>
      <c r="G44" s="23" t="s">
        <v>282</v>
      </c>
      <c r="H44" s="23" t="s">
        <v>140</v>
      </c>
      <c r="I44" s="23" t="s">
        <v>308</v>
      </c>
      <c r="J44" s="14"/>
      <c r="K44" s="14"/>
      <c r="L44" s="14"/>
      <c r="M44" s="14"/>
      <c r="N44" s="14"/>
      <c r="O44" s="14"/>
      <c r="P44" s="14"/>
      <c r="Q44" s="14"/>
      <c r="R44" s="14"/>
      <c r="S44" s="14"/>
      <c r="T44" s="14"/>
      <c r="U44" s="14"/>
      <c r="V44" s="14"/>
      <c r="W44" s="14"/>
      <c r="X44" s="14"/>
      <c r="Y44" s="14"/>
      <c r="Z44" s="14"/>
      <c r="AA44" s="14"/>
      <c r="AB44" s="14"/>
      <c r="AC44" s="14"/>
      <c r="AD44" s="14"/>
      <c r="AE44" s="14"/>
      <c r="AF44" s="14"/>
      <c r="AG44" s="14"/>
    </row>
    <row r="45" spans="2:33" ht="15">
      <c r="B45" s="14"/>
      <c r="C45" s="15"/>
      <c r="D45" s="14"/>
      <c r="E45" s="23" t="s">
        <v>300</v>
      </c>
      <c r="F45" s="242">
        <v>2014</v>
      </c>
      <c r="G45" s="242" t="s">
        <v>289</v>
      </c>
      <c r="H45" s="242" t="s">
        <v>148</v>
      </c>
      <c r="I45" s="242" t="s">
        <v>173</v>
      </c>
      <c r="J45" s="14"/>
      <c r="K45" s="14"/>
      <c r="L45" s="14"/>
      <c r="M45" s="14"/>
      <c r="N45" s="14"/>
      <c r="O45" s="14"/>
      <c r="P45" s="14"/>
      <c r="Q45" s="14"/>
      <c r="R45" s="14"/>
      <c r="S45" s="14"/>
      <c r="T45" s="14"/>
      <c r="U45" s="14"/>
      <c r="V45" s="14"/>
      <c r="W45" s="14"/>
      <c r="X45" s="14"/>
      <c r="Y45" s="14"/>
      <c r="Z45" s="14"/>
      <c r="AA45" s="14"/>
      <c r="AB45" s="14"/>
      <c r="AC45" s="14"/>
      <c r="AD45" s="14"/>
      <c r="AE45" s="14"/>
      <c r="AF45" s="14"/>
      <c r="AG45" s="14"/>
    </row>
    <row r="46" spans="2:33" ht="15">
      <c r="B46" s="14"/>
      <c r="C46" s="15"/>
      <c r="D46" s="14"/>
      <c r="E46" s="23" t="s">
        <v>170</v>
      </c>
      <c r="F46" s="242"/>
      <c r="G46" s="242"/>
      <c r="H46" s="242"/>
      <c r="I46" s="242"/>
      <c r="J46" s="14"/>
      <c r="K46" s="14"/>
      <c r="L46" s="14"/>
      <c r="M46" s="14"/>
      <c r="N46" s="14"/>
      <c r="O46" s="14"/>
      <c r="P46" s="14"/>
      <c r="Q46" s="14"/>
      <c r="R46" s="14"/>
      <c r="S46" s="14"/>
      <c r="T46" s="14"/>
      <c r="U46" s="14"/>
      <c r="V46" s="14"/>
      <c r="W46" s="14"/>
      <c r="X46" s="14"/>
      <c r="Y46" s="14"/>
      <c r="Z46" s="14"/>
      <c r="AA46" s="14"/>
      <c r="AB46" s="14"/>
      <c r="AC46" s="14"/>
      <c r="AD46" s="14"/>
      <c r="AE46" s="14"/>
      <c r="AF46" s="14"/>
      <c r="AG46" s="14"/>
    </row>
    <row r="47" spans="2:33" ht="15">
      <c r="B47" s="14"/>
      <c r="C47" s="15"/>
      <c r="D47" s="14"/>
      <c r="E47" s="23" t="s">
        <v>214</v>
      </c>
      <c r="F47" s="25">
        <v>41791</v>
      </c>
      <c r="G47" s="23" t="s">
        <v>309</v>
      </c>
      <c r="H47" s="23" t="s">
        <v>140</v>
      </c>
      <c r="I47" s="23" t="s">
        <v>310</v>
      </c>
      <c r="J47" s="14"/>
      <c r="K47" s="14"/>
      <c r="L47" s="14"/>
      <c r="M47" s="14"/>
      <c r="N47" s="14"/>
      <c r="O47" s="14"/>
      <c r="P47" s="14"/>
      <c r="Q47" s="14"/>
      <c r="R47" s="14"/>
      <c r="S47" s="14"/>
      <c r="T47" s="14"/>
      <c r="U47" s="14"/>
      <c r="V47" s="14"/>
      <c r="W47" s="14"/>
      <c r="X47" s="14"/>
      <c r="Y47" s="14"/>
      <c r="Z47" s="14"/>
      <c r="AA47" s="14"/>
      <c r="AB47" s="14"/>
      <c r="AC47" s="14"/>
      <c r="AD47" s="14"/>
      <c r="AE47" s="14"/>
      <c r="AF47" s="14"/>
      <c r="AG47" s="14"/>
    </row>
    <row r="48" spans="2:33" ht="15">
      <c r="B48" s="14"/>
      <c r="C48" s="15"/>
      <c r="D48" s="14"/>
      <c r="E48" s="242" t="s">
        <v>296</v>
      </c>
      <c r="F48" s="242"/>
      <c r="G48" s="242"/>
      <c r="H48" s="242"/>
      <c r="I48" s="242"/>
      <c r="J48" s="14"/>
      <c r="K48" s="14"/>
      <c r="L48" s="14"/>
      <c r="M48" s="14"/>
      <c r="N48" s="14"/>
      <c r="O48" s="14"/>
      <c r="P48" s="14"/>
      <c r="Q48" s="14"/>
      <c r="R48" s="14"/>
      <c r="S48" s="14"/>
      <c r="T48" s="14"/>
      <c r="U48" s="14"/>
      <c r="V48" s="14"/>
      <c r="W48" s="14"/>
      <c r="X48" s="14"/>
      <c r="Y48" s="14"/>
      <c r="Z48" s="14"/>
      <c r="AA48" s="14"/>
      <c r="AB48" s="14"/>
      <c r="AC48" s="14"/>
      <c r="AD48" s="14"/>
      <c r="AE48" s="14"/>
      <c r="AF48" s="14"/>
      <c r="AG48" s="14"/>
    </row>
    <row r="49" spans="2:33">
      <c r="B49" s="14"/>
      <c r="C49" s="15"/>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row>
    <row r="50" spans="2:33">
      <c r="B50" s="14"/>
      <c r="C50" s="15"/>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row>
    <row r="51" spans="2:33">
      <c r="B51" s="14"/>
      <c r="C51" s="15"/>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row>
    <row r="52" spans="2:33">
      <c r="B52" s="14"/>
      <c r="C52" s="15"/>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row>
    <row r="53" spans="2:33">
      <c r="B53" s="14"/>
      <c r="C53" s="15"/>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row>
    <row r="54" spans="2:33">
      <c r="B54" s="14"/>
      <c r="C54" s="15"/>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row>
    <row r="55" spans="2:33">
      <c r="B55" s="14"/>
      <c r="C55" s="15"/>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row>
    <row r="56" spans="2:33">
      <c r="B56" s="14"/>
      <c r="C56" s="15"/>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row>
    <row r="57" spans="2:33">
      <c r="B57" s="14"/>
      <c r="C57" s="15"/>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row>
    <row r="58" spans="2:33">
      <c r="B58" s="14"/>
      <c r="C58" s="15"/>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row>
    <row r="59" spans="2:33">
      <c r="B59" s="14"/>
      <c r="C59" s="15"/>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row>
    <row r="60" spans="2:33">
      <c r="B60" s="14"/>
      <c r="C60" s="15"/>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row>
    <row r="61" spans="2:33">
      <c r="B61" s="14"/>
      <c r="C61" s="15"/>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row>
    <row r="62" spans="2:33">
      <c r="B62" s="14"/>
      <c r="C62" s="15"/>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row>
    <row r="63" spans="2:33">
      <c r="B63" s="14"/>
      <c r="C63" s="15"/>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row>
    <row r="64" spans="2:33">
      <c r="B64" s="14"/>
      <c r="C64" s="15"/>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row>
    <row r="65" spans="2:33">
      <c r="B65" s="14"/>
      <c r="C65" s="15"/>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row>
    <row r="66" spans="2:33">
      <c r="B66" s="14"/>
      <c r="C66" s="15"/>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row>
    <row r="67" spans="2:33">
      <c r="B67" s="14"/>
      <c r="C67" s="15"/>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row>
    <row r="68" spans="2:33">
      <c r="B68" s="14"/>
      <c r="C68" s="15"/>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row>
    <row r="69" spans="2:33">
      <c r="B69" s="14"/>
      <c r="C69" s="15"/>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row>
    <row r="70" spans="2:33">
      <c r="B70" s="14"/>
      <c r="C70" s="15"/>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row>
    <row r="71" spans="2:33">
      <c r="B71" s="14"/>
      <c r="C71" s="15"/>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row>
    <row r="72" spans="2:33">
      <c r="B72" s="14"/>
      <c r="C72" s="15"/>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row>
    <row r="73" spans="2:33">
      <c r="B73" s="14"/>
      <c r="C73" s="15"/>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row>
    <row r="74" spans="2:33">
      <c r="B74" s="14"/>
      <c r="C74" s="15"/>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row>
    <row r="75" spans="2:33">
      <c r="B75" s="14"/>
      <c r="C75" s="15"/>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row>
    <row r="76" spans="2:33">
      <c r="B76" s="14"/>
      <c r="C76" s="15"/>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row>
    <row r="77" spans="2:33">
      <c r="B77" s="14"/>
      <c r="C77" s="15"/>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row>
    <row r="78" spans="2:33">
      <c r="B78" s="14"/>
      <c r="C78" s="15"/>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row>
    <row r="79" spans="2:33">
      <c r="B79" s="14"/>
      <c r="C79" s="15"/>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row>
    <row r="80" spans="2:33">
      <c r="B80" s="14"/>
      <c r="C80" s="15"/>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row>
    <row r="81" spans="2:33">
      <c r="B81" s="14"/>
      <c r="C81" s="15"/>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row>
    <row r="82" spans="2:33">
      <c r="B82" s="14"/>
      <c r="C82" s="15"/>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row>
    <row r="83" spans="2:33">
      <c r="B83" s="14"/>
      <c r="C83" s="15"/>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row>
    <row r="84" spans="2:33">
      <c r="B84" s="14"/>
      <c r="C84" s="15"/>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row>
    <row r="85" spans="2:33">
      <c r="B85" s="14"/>
      <c r="C85" s="15"/>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row>
    <row r="86" spans="2:33">
      <c r="B86" s="14"/>
      <c r="C86" s="15"/>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row>
    <row r="87" spans="2:33">
      <c r="B87" s="14"/>
      <c r="C87" s="15"/>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row>
    <row r="88" spans="2:33">
      <c r="B88" s="14"/>
      <c r="C88" s="15"/>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row>
    <row r="89" spans="2:33">
      <c r="B89" s="14"/>
      <c r="C89" s="15"/>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row>
    <row r="90" spans="2:33">
      <c r="B90" s="14"/>
      <c r="C90" s="15"/>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row>
    <row r="91" spans="2:33">
      <c r="B91" s="14"/>
      <c r="C91" s="15"/>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row>
    <row r="92" spans="2:33">
      <c r="B92" s="14"/>
      <c r="C92" s="15"/>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row>
    <row r="93" spans="2:33">
      <c r="B93" s="14"/>
      <c r="C93" s="15"/>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row>
    <row r="94" spans="2:33">
      <c r="B94" s="14"/>
      <c r="C94" s="15"/>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row>
    <row r="95" spans="2:33">
      <c r="B95" s="14"/>
      <c r="C95" s="15"/>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row>
    <row r="96" spans="2:33">
      <c r="B96" s="14"/>
      <c r="C96" s="15"/>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row>
    <row r="97" spans="2:33">
      <c r="B97" s="14"/>
      <c r="C97" s="15"/>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row>
    <row r="98" spans="2:33">
      <c r="B98" s="14"/>
      <c r="C98" s="15"/>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row>
    <row r="99" spans="2:33">
      <c r="B99" s="14"/>
      <c r="C99" s="15"/>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row>
    <row r="100" spans="2:33">
      <c r="B100" s="14"/>
      <c r="C100" s="15"/>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row>
    <row r="101" spans="2:33">
      <c r="B101" s="14"/>
      <c r="C101" s="15"/>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row>
    <row r="102" spans="2:33">
      <c r="B102" s="14"/>
      <c r="C102" s="15"/>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row>
    <row r="103" spans="2:33">
      <c r="B103" s="14"/>
      <c r="C103" s="15"/>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row>
    <row r="104" spans="2:33">
      <c r="B104" s="14"/>
      <c r="C104" s="15"/>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row>
    <row r="105" spans="2:33">
      <c r="B105" s="14"/>
      <c r="C105" s="15"/>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row>
    <row r="106" spans="2:33">
      <c r="B106" s="14"/>
      <c r="C106" s="15"/>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row>
    <row r="107" spans="2:33">
      <c r="B107" s="14"/>
      <c r="C107" s="15"/>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row>
    <row r="108" spans="2:33">
      <c r="B108" s="14"/>
      <c r="C108" s="15"/>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row>
    <row r="109" spans="2:33">
      <c r="B109" s="14"/>
      <c r="C109" s="15"/>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row>
    <row r="110" spans="2:33">
      <c r="B110" s="14"/>
      <c r="C110" s="15"/>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row>
    <row r="111" spans="2:33">
      <c r="B111" s="14"/>
      <c r="C111" s="15"/>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row>
    <row r="112" spans="2:33">
      <c r="B112" s="14"/>
      <c r="C112" s="15"/>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row>
    <row r="113" spans="2:33">
      <c r="B113" s="14"/>
      <c r="C113" s="15"/>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row>
    <row r="114" spans="2:33">
      <c r="B114" s="14"/>
      <c r="C114" s="15"/>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row>
    <row r="115" spans="2:33">
      <c r="B115" s="14"/>
      <c r="C115" s="15"/>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row>
    <row r="116" spans="2:33">
      <c r="B116" s="14"/>
      <c r="C116" s="15"/>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row>
    <row r="117" spans="2:33">
      <c r="B117" s="14"/>
      <c r="C117" s="15"/>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row>
    <row r="118" spans="2:33">
      <c r="B118" s="14"/>
      <c r="C118" s="15"/>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row>
    <row r="119" spans="2:33">
      <c r="B119" s="14"/>
      <c r="C119" s="15"/>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row>
    <row r="120" spans="2:33">
      <c r="B120" s="14"/>
      <c r="C120" s="15"/>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row>
    <row r="121" spans="2:33">
      <c r="B121" s="14"/>
      <c r="C121" s="15"/>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row>
    <row r="122" spans="2:33">
      <c r="B122" s="14"/>
      <c r="C122" s="15"/>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row>
    <row r="123" spans="2:33">
      <c r="B123" s="14"/>
      <c r="C123" s="15"/>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row>
    <row r="124" spans="2:33">
      <c r="B124" s="14"/>
      <c r="C124" s="15"/>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row>
    <row r="125" spans="2:33">
      <c r="B125" s="14"/>
      <c r="C125" s="15"/>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row>
    <row r="126" spans="2:33">
      <c r="B126" s="14"/>
      <c r="C126" s="15"/>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row>
    <row r="127" spans="2:33">
      <c r="B127" s="14"/>
      <c r="C127" s="15"/>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row>
    <row r="128" spans="2:33">
      <c r="B128" s="14"/>
      <c r="C128" s="15"/>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row>
    <row r="129" spans="2:33">
      <c r="B129" s="14"/>
      <c r="C129" s="15"/>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row>
    <row r="130" spans="2:33">
      <c r="B130" s="14"/>
      <c r="C130" s="15"/>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row>
    <row r="131" spans="2:33">
      <c r="B131" s="14"/>
      <c r="C131" s="15"/>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row>
    <row r="132" spans="2:33">
      <c r="B132" s="14"/>
      <c r="C132" s="15"/>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row>
    <row r="133" spans="2:33">
      <c r="B133" s="14"/>
      <c r="C133" s="15"/>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row>
    <row r="134" spans="2:33">
      <c r="B134" s="14"/>
      <c r="C134" s="15"/>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row>
    <row r="135" spans="2:33">
      <c r="B135" s="14"/>
      <c r="C135" s="15"/>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row>
    <row r="136" spans="2:33">
      <c r="B136" s="14"/>
      <c r="C136" s="15"/>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row>
    <row r="137" spans="2:33">
      <c r="B137" s="14"/>
      <c r="C137" s="15"/>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row>
    <row r="138" spans="2:33">
      <c r="B138" s="14"/>
      <c r="C138" s="15"/>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row>
    <row r="139" spans="2:33">
      <c r="B139" s="14"/>
      <c r="C139" s="15"/>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row>
    <row r="140" spans="2:33">
      <c r="B140" s="14"/>
      <c r="C140" s="15"/>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row>
    <row r="141" spans="2:33">
      <c r="B141" s="14"/>
      <c r="C141" s="15"/>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row>
    <row r="142" spans="2:33">
      <c r="B142" s="14"/>
      <c r="C142" s="15"/>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row>
    <row r="143" spans="2:33">
      <c r="B143" s="14"/>
      <c r="C143" s="15"/>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row>
    <row r="144" spans="2:33">
      <c r="B144" s="14"/>
      <c r="C144" s="15"/>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row>
    <row r="145" spans="2:33">
      <c r="B145" s="14"/>
      <c r="C145" s="15"/>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row>
    <row r="146" spans="2:33">
      <c r="B146" s="14"/>
      <c r="C146" s="15"/>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row>
    <row r="147" spans="2:33">
      <c r="B147" s="14"/>
      <c r="C147" s="15"/>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row>
    <row r="148" spans="2:33">
      <c r="B148" s="14"/>
      <c r="C148" s="15"/>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row>
    <row r="149" spans="2:33">
      <c r="B149" s="14"/>
      <c r="C149" s="15"/>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row>
    <row r="150" spans="2:33">
      <c r="B150" s="14"/>
      <c r="C150" s="15"/>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row>
    <row r="151" spans="2:33">
      <c r="B151" s="14"/>
      <c r="C151" s="15"/>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row>
    <row r="152" spans="2:33">
      <c r="B152" s="14"/>
      <c r="C152" s="15"/>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row>
    <row r="153" spans="2:33">
      <c r="B153" s="14"/>
      <c r="C153" s="15"/>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row>
    <row r="154" spans="2:33">
      <c r="B154" s="14"/>
      <c r="C154" s="15"/>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row>
    <row r="155" spans="2:33">
      <c r="B155" s="14"/>
      <c r="C155" s="15"/>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row>
    <row r="156" spans="2:33">
      <c r="B156" s="14"/>
      <c r="C156" s="15"/>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row>
    <row r="157" spans="2:33">
      <c r="B157" s="14"/>
      <c r="C157" s="15"/>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row>
    <row r="158" spans="2:33">
      <c r="B158" s="14"/>
      <c r="C158" s="15"/>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row>
    <row r="159" spans="2:33">
      <c r="B159" s="14"/>
      <c r="C159" s="15"/>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row>
    <row r="160" spans="2:33">
      <c r="B160" s="14"/>
      <c r="C160" s="15"/>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row>
    <row r="161" spans="2:33">
      <c r="B161" s="14"/>
      <c r="C161" s="15"/>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row>
    <row r="162" spans="2:33">
      <c r="B162" s="14"/>
      <c r="C162" s="15"/>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row>
    <row r="163" spans="2:33">
      <c r="B163" s="14"/>
      <c r="C163" s="15"/>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row>
    <row r="164" spans="2:33">
      <c r="B164" s="14"/>
      <c r="C164" s="15"/>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row>
    <row r="165" spans="2:33">
      <c r="B165" s="14"/>
      <c r="C165" s="15"/>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row>
    <row r="166" spans="2:33">
      <c r="B166" s="14"/>
      <c r="C166" s="15"/>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row>
    <row r="167" spans="2:33">
      <c r="B167" s="14"/>
      <c r="C167" s="15"/>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row>
    <row r="168" spans="2:33">
      <c r="B168" s="14"/>
      <c r="C168" s="15"/>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row>
    <row r="169" spans="2:33">
      <c r="B169" s="14"/>
      <c r="C169" s="15"/>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row>
    <row r="170" spans="2:33">
      <c r="B170" s="14"/>
      <c r="C170" s="15"/>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row>
    <row r="171" spans="2:33">
      <c r="B171" s="14"/>
      <c r="C171" s="15"/>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row>
    <row r="172" spans="2:33">
      <c r="B172" s="14"/>
      <c r="C172" s="15"/>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row>
    <row r="173" spans="2:33">
      <c r="B173" s="14"/>
      <c r="C173" s="15"/>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row>
    <row r="174" spans="2:33">
      <c r="B174" s="14"/>
      <c r="C174" s="15"/>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row>
    <row r="175" spans="2:33">
      <c r="B175" s="14"/>
      <c r="C175" s="15"/>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row>
    <row r="176" spans="2:33">
      <c r="B176" s="14"/>
      <c r="C176" s="15"/>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row>
    <row r="177" spans="2:33">
      <c r="B177" s="14"/>
      <c r="C177" s="15"/>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row>
    <row r="178" spans="2:33">
      <c r="B178" s="14"/>
      <c r="C178" s="15"/>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row>
    <row r="179" spans="2:33">
      <c r="B179" s="14"/>
      <c r="C179" s="15"/>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row>
    <row r="180" spans="2:33">
      <c r="B180" s="14"/>
      <c r="C180" s="15"/>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row>
    <row r="181" spans="2:33">
      <c r="B181" s="14"/>
      <c r="C181" s="15"/>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row>
    <row r="182" spans="2:33">
      <c r="B182" s="14"/>
      <c r="C182" s="15"/>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row>
    <row r="183" spans="2:33">
      <c r="B183" s="14"/>
      <c r="C183" s="15"/>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row>
    <row r="184" spans="2:33">
      <c r="B184" s="14"/>
      <c r="C184" s="15"/>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row>
    <row r="185" spans="2:33">
      <c r="B185" s="14"/>
      <c r="C185" s="15"/>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row>
    <row r="186" spans="2:33">
      <c r="B186" s="14"/>
      <c r="C186" s="15"/>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row>
    <row r="187" spans="2:33">
      <c r="B187" s="14"/>
      <c r="C187" s="15"/>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row>
    <row r="188" spans="2:33">
      <c r="B188" s="14"/>
      <c r="C188" s="15"/>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row>
    <row r="189" spans="2:33">
      <c r="B189" s="14"/>
      <c r="C189" s="15"/>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row>
    <row r="190" spans="2:33">
      <c r="B190" s="14"/>
      <c r="C190" s="15"/>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row>
    <row r="191" spans="2:33">
      <c r="B191" s="14"/>
      <c r="C191" s="15"/>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row>
    <row r="192" spans="2:33">
      <c r="B192" s="14"/>
      <c r="C192" s="15"/>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row>
    <row r="193" spans="2:33">
      <c r="B193" s="14"/>
      <c r="C193" s="15"/>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row>
    <row r="194" spans="2:33">
      <c r="B194" s="14"/>
      <c r="C194" s="15"/>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row>
    <row r="195" spans="2:33">
      <c r="B195" s="14"/>
      <c r="C195" s="15"/>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row>
    <row r="196" spans="2:33">
      <c r="B196" s="14"/>
      <c r="C196" s="15"/>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row>
    <row r="197" spans="2:33">
      <c r="B197" s="14"/>
      <c r="C197" s="15"/>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row>
    <row r="198" spans="2:33">
      <c r="B198" s="14"/>
      <c r="C198" s="15"/>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row>
    <row r="199" spans="2:33">
      <c r="B199" s="14"/>
      <c r="C199" s="15"/>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row>
    <row r="200" spans="2:33">
      <c r="B200" s="14"/>
      <c r="C200" s="15"/>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row>
    <row r="201" spans="2:33">
      <c r="B201" s="14"/>
      <c r="C201" s="15"/>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row>
    <row r="202" spans="2:33">
      <c r="B202" s="14"/>
      <c r="C202" s="15"/>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row>
    <row r="203" spans="2:33">
      <c r="B203" s="14"/>
      <c r="C203" s="15"/>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row>
    <row r="204" spans="2:33">
      <c r="B204" s="14"/>
      <c r="C204" s="15"/>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row>
    <row r="205" spans="2:33">
      <c r="B205" s="14"/>
      <c r="C205" s="15"/>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row>
    <row r="206" spans="2:33">
      <c r="B206" s="14"/>
      <c r="C206" s="15"/>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row>
    <row r="207" spans="2:33">
      <c r="B207" s="14"/>
      <c r="C207" s="15"/>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row>
    <row r="208" spans="2:33">
      <c r="B208" s="14"/>
      <c r="C208" s="15"/>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row>
    <row r="209" spans="2:33">
      <c r="B209" s="14"/>
      <c r="C209" s="15"/>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row>
    <row r="210" spans="2:33">
      <c r="B210" s="14"/>
      <c r="C210" s="15"/>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row>
    <row r="211" spans="2:33">
      <c r="B211" s="14"/>
      <c r="C211" s="15"/>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row>
    <row r="212" spans="2:33">
      <c r="B212" s="14"/>
      <c r="C212" s="15"/>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row>
    <row r="213" spans="2:33">
      <c r="B213" s="14"/>
      <c r="C213" s="15"/>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row>
    <row r="214" spans="2:33">
      <c r="B214" s="14"/>
      <c r="C214" s="15"/>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row>
    <row r="215" spans="2:33">
      <c r="B215" s="14"/>
      <c r="C215" s="15"/>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row>
    <row r="216" spans="2:33">
      <c r="B216" s="14"/>
      <c r="C216" s="15"/>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row>
    <row r="217" spans="2:33">
      <c r="B217" s="14"/>
      <c r="C217" s="15"/>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row>
    <row r="218" spans="2:33">
      <c r="B218" s="14"/>
      <c r="C218" s="15"/>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row>
    <row r="219" spans="2:33">
      <c r="B219" s="14"/>
      <c r="C219" s="15"/>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row>
    <row r="220" spans="2:33">
      <c r="B220" s="14"/>
      <c r="C220" s="15"/>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row>
    <row r="221" spans="2:33">
      <c r="B221" s="14"/>
      <c r="C221" s="15"/>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row>
    <row r="222" spans="2:33">
      <c r="B222" s="14"/>
      <c r="C222" s="15"/>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row>
    <row r="223" spans="2:33">
      <c r="B223" s="14"/>
      <c r="C223" s="15"/>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row>
    <row r="224" spans="2:33">
      <c r="B224" s="14"/>
      <c r="C224" s="15"/>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row>
    <row r="225" spans="2:33">
      <c r="B225" s="14"/>
      <c r="C225" s="15"/>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row>
    <row r="226" spans="2:33">
      <c r="B226" s="14"/>
      <c r="C226" s="15"/>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row>
    <row r="227" spans="2:33">
      <c r="B227" s="14"/>
      <c r="C227" s="15"/>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row>
    <row r="228" spans="2:33">
      <c r="B228" s="14"/>
      <c r="C228" s="15"/>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row>
    <row r="229" spans="2:33">
      <c r="B229" s="14"/>
      <c r="C229" s="15"/>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row>
    <row r="230" spans="2:33">
      <c r="B230" s="14"/>
      <c r="C230" s="15"/>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row>
    <row r="231" spans="2:33">
      <c r="B231" s="14"/>
      <c r="C231" s="15"/>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row>
    <row r="232" spans="2:33">
      <c r="B232" s="14"/>
      <c r="C232" s="15"/>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row>
    <row r="233" spans="2:33">
      <c r="B233" s="14"/>
      <c r="C233" s="15"/>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row>
    <row r="234" spans="2:33">
      <c r="B234" s="14"/>
      <c r="C234" s="15"/>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row>
    <row r="235" spans="2:33">
      <c r="B235" s="14"/>
      <c r="C235" s="15"/>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row>
    <row r="236" spans="2:33">
      <c r="B236" s="14"/>
      <c r="C236" s="15"/>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row>
    <row r="237" spans="2:33">
      <c r="B237" s="14"/>
      <c r="C237" s="15"/>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row>
    <row r="238" spans="2:33">
      <c r="B238" s="14"/>
      <c r="C238" s="15"/>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row>
    <row r="239" spans="2:33">
      <c r="B239" s="14"/>
      <c r="C239" s="15"/>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row>
    <row r="240" spans="2:33">
      <c r="B240" s="14"/>
      <c r="C240" s="15"/>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row>
    <row r="241" spans="2:33">
      <c r="B241" s="14"/>
      <c r="C241" s="15"/>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row>
    <row r="242" spans="2:33">
      <c r="B242" s="14"/>
      <c r="C242" s="15"/>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row>
  </sheetData>
  <mergeCells count="16">
    <mergeCell ref="E48:I48"/>
    <mergeCell ref="E1:I1"/>
    <mergeCell ref="E18:I18"/>
    <mergeCell ref="E20:I20"/>
    <mergeCell ref="F24:F25"/>
    <mergeCell ref="G24:G25"/>
    <mergeCell ref="H24:H25"/>
    <mergeCell ref="I24:I25"/>
    <mergeCell ref="E29:I29"/>
    <mergeCell ref="E31:I31"/>
    <mergeCell ref="E39:I39"/>
    <mergeCell ref="E41:I41"/>
    <mergeCell ref="F45:F46"/>
    <mergeCell ref="G45:G46"/>
    <mergeCell ref="H45:H46"/>
    <mergeCell ref="I45:I46"/>
  </mergeCells>
  <pageMargins left="0.7" right="0.7" top="0.75" bottom="0.75" header="0.3" footer="0.3"/>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F86"/>
  <sheetViews>
    <sheetView topLeftCell="BF16" zoomScale="90" zoomScaleNormal="90" zoomScalePageLayoutView="90" workbookViewId="0">
      <selection activeCell="BO41" sqref="BO41"/>
    </sheetView>
  </sheetViews>
  <sheetFormatPr baseColWidth="10" defaultRowHeight="15" x14ac:dyDescent="0"/>
  <cols>
    <col min="2" max="2" width="29" style="139" bestFit="1" customWidth="1"/>
    <col min="3" max="3" width="6.5" style="139" bestFit="1" customWidth="1"/>
    <col min="4" max="8" width="10.83203125" style="139"/>
    <col min="9" max="9" width="29" style="139" bestFit="1" customWidth="1"/>
    <col min="10" max="11" width="16.1640625" style="139" bestFit="1" customWidth="1"/>
    <col min="12" max="12" width="10.83203125" style="139"/>
    <col min="13" max="13" width="29" style="139" bestFit="1" customWidth="1"/>
    <col min="14" max="16" width="20.33203125" style="139" bestFit="1" customWidth="1"/>
    <col min="17" max="17" width="21.5" style="139" bestFit="1" customWidth="1"/>
    <col min="18" max="18" width="10.83203125" style="139"/>
    <col min="19" max="19" width="29" style="139" bestFit="1" customWidth="1"/>
    <col min="20" max="21" width="14.5" style="139" bestFit="1" customWidth="1"/>
    <col min="22" max="22" width="20.5" style="139" bestFit="1" customWidth="1"/>
    <col min="23" max="23" width="18.5" style="139" bestFit="1" customWidth="1"/>
    <col min="24" max="24" width="10.83203125" style="139"/>
    <col min="25" max="25" width="29" style="139" bestFit="1" customWidth="1"/>
    <col min="26" max="26" width="33" style="139" bestFit="1" customWidth="1"/>
    <col min="27" max="27" width="35.33203125" style="139" bestFit="1" customWidth="1"/>
    <col min="28" max="28" width="10.83203125" style="139"/>
    <col min="29" max="29" width="29" style="139" bestFit="1" customWidth="1"/>
    <col min="30" max="30" width="17" style="139" bestFit="1" customWidth="1"/>
    <col min="31" max="31" width="14.83203125" style="139" bestFit="1" customWidth="1"/>
    <col min="32" max="32" width="16.33203125" style="139" bestFit="1" customWidth="1"/>
    <col min="33" max="33" width="10.83203125" style="139"/>
    <col min="34" max="34" width="29" style="139" bestFit="1" customWidth="1"/>
    <col min="35" max="35" width="14.83203125" style="139" bestFit="1" customWidth="1"/>
    <col min="36" max="36" width="18.33203125" style="139" bestFit="1" customWidth="1"/>
    <col min="37" max="37" width="20.33203125" style="139" bestFit="1" customWidth="1"/>
    <col min="38" max="38" width="10.83203125" style="139"/>
    <col min="39" max="39" width="29" style="139" bestFit="1" customWidth="1"/>
    <col min="40" max="40" width="52.83203125" style="139" bestFit="1" customWidth="1"/>
    <col min="41" max="41" width="40" style="139" bestFit="1" customWidth="1"/>
    <col min="42" max="42" width="26.83203125" style="139" customWidth="1"/>
    <col min="43" max="43" width="10.83203125" style="139"/>
    <col min="44" max="44" width="29" style="139" bestFit="1" customWidth="1"/>
    <col min="45" max="45" width="36.33203125" style="139" bestFit="1" customWidth="1"/>
    <col min="46" max="46" width="35" style="139" bestFit="1" customWidth="1"/>
    <col min="47" max="47" width="10.83203125" style="139"/>
    <col min="48" max="48" width="29" style="139" bestFit="1" customWidth="1"/>
    <col min="49" max="49" width="21.5" style="139" bestFit="1" customWidth="1"/>
    <col min="50" max="50" width="22.5" style="139" bestFit="1" customWidth="1"/>
    <col min="51" max="51" width="23" style="139" bestFit="1" customWidth="1"/>
    <col min="52" max="52" width="10.83203125" style="139"/>
    <col min="53" max="53" width="29" style="139" bestFit="1" customWidth="1"/>
    <col min="54" max="54" width="19.6640625" style="139" bestFit="1" customWidth="1"/>
    <col min="55" max="55" width="21.5" style="139" bestFit="1" customWidth="1"/>
    <col min="56" max="56" width="19.33203125" style="139" bestFit="1" customWidth="1"/>
    <col min="57" max="57" width="10.83203125" style="139"/>
    <col min="58" max="58" width="29" style="139" bestFit="1" customWidth="1"/>
    <col min="59" max="59" width="22.33203125" style="139" bestFit="1" customWidth="1"/>
    <col min="60" max="60" width="23.83203125" style="139" bestFit="1" customWidth="1"/>
    <col min="61" max="61" width="21.83203125" style="139" bestFit="1" customWidth="1"/>
    <col min="62" max="62" width="10.83203125" style="139"/>
    <col min="63" max="63" width="29" style="139" bestFit="1" customWidth="1"/>
    <col min="64" max="64" width="13.6640625" style="139" bestFit="1" customWidth="1"/>
    <col min="65" max="65" width="13.5" style="139" bestFit="1" customWidth="1"/>
    <col min="66" max="66" width="13" style="139" bestFit="1" customWidth="1"/>
    <col min="67" max="67" width="13.83203125" style="139" bestFit="1" customWidth="1"/>
    <col min="68" max="68" width="10.83203125" style="139"/>
    <col min="69" max="69" width="29" style="139" bestFit="1" customWidth="1"/>
    <col min="70" max="70" width="33.33203125" style="139" bestFit="1" customWidth="1"/>
    <col min="71" max="71" width="36.83203125" style="139" bestFit="1" customWidth="1"/>
    <col min="72" max="72" width="10.83203125" style="139"/>
    <col min="73" max="73" width="29" style="139" bestFit="1" customWidth="1"/>
    <col min="74" max="74" width="23.6640625" style="139" bestFit="1" customWidth="1"/>
    <col min="75" max="75" width="24.83203125" style="139" bestFit="1" customWidth="1"/>
    <col min="76" max="76" width="10.83203125" style="139"/>
    <col min="77" max="77" width="29" style="139" bestFit="1" customWidth="1"/>
    <col min="78" max="78" width="17.83203125" style="139" bestFit="1" customWidth="1"/>
    <col min="79" max="79" width="19.1640625" style="139" bestFit="1" customWidth="1"/>
    <col min="80" max="80" width="10.83203125" style="139"/>
    <col min="81" max="81" width="29" style="139" bestFit="1" customWidth="1"/>
    <col min="82" max="82" width="13.1640625" style="139" bestFit="1" customWidth="1"/>
    <col min="83" max="83" width="15.5" style="139" bestFit="1" customWidth="1"/>
    <col min="84" max="84" width="13.33203125" style="139" bestFit="1" customWidth="1"/>
    <col min="85" max="85" width="10.83203125" style="139"/>
    <col min="86" max="86" width="29" style="139" bestFit="1" customWidth="1"/>
    <col min="87" max="87" width="15.5" style="139" bestFit="1" customWidth="1"/>
    <col min="88" max="88" width="16.83203125" style="139" bestFit="1" customWidth="1"/>
    <col min="89" max="89" width="10.83203125" style="139"/>
    <col min="90" max="90" width="29" style="139" bestFit="1" customWidth="1"/>
    <col min="91" max="91" width="17.6640625" style="139" bestFit="1" customWidth="1"/>
    <col min="92" max="92" width="18.83203125" style="139" bestFit="1" customWidth="1"/>
    <col min="93" max="93" width="14.83203125" style="139" bestFit="1" customWidth="1"/>
    <col min="94" max="94" width="10.83203125" style="139"/>
    <col min="95" max="95" width="31" style="139" bestFit="1" customWidth="1"/>
    <col min="96" max="96" width="34.5" style="139" bestFit="1" customWidth="1"/>
    <col min="97" max="97" width="26.5" style="139" bestFit="1" customWidth="1"/>
    <col min="98" max="98" width="30.83203125" style="139" bestFit="1" customWidth="1"/>
    <col min="99" max="102" width="10.83203125" style="139"/>
    <col min="103" max="110" width="10.83203125" style="137"/>
  </cols>
  <sheetData>
    <row r="3" spans="2:98">
      <c r="B3" s="140" t="s">
        <v>542</v>
      </c>
      <c r="C3" s="140" t="s">
        <v>469</v>
      </c>
      <c r="I3" s="140"/>
      <c r="J3" s="140" t="s">
        <v>318</v>
      </c>
      <c r="K3" s="140" t="s">
        <v>319</v>
      </c>
      <c r="M3" s="140"/>
      <c r="N3" s="140" t="s">
        <v>320</v>
      </c>
      <c r="O3" s="140" t="s">
        <v>321</v>
      </c>
      <c r="P3" s="140" t="s">
        <v>322</v>
      </c>
      <c r="Q3" s="140" t="s">
        <v>323</v>
      </c>
      <c r="S3" s="140"/>
      <c r="T3" s="140" t="s">
        <v>324</v>
      </c>
      <c r="U3" s="140" t="s">
        <v>325</v>
      </c>
      <c r="V3" s="140" t="s">
        <v>326</v>
      </c>
      <c r="W3" s="140" t="s">
        <v>327</v>
      </c>
      <c r="Y3" s="140"/>
      <c r="Z3" s="140" t="s">
        <v>663</v>
      </c>
      <c r="AA3" s="140" t="s">
        <v>328</v>
      </c>
      <c r="AC3" s="140"/>
      <c r="AD3" s="140" t="s">
        <v>329</v>
      </c>
      <c r="AE3" s="140" t="s">
        <v>330</v>
      </c>
      <c r="AF3" s="140" t="s">
        <v>331</v>
      </c>
      <c r="AH3" s="140"/>
      <c r="AI3" s="140" t="s">
        <v>550</v>
      </c>
      <c r="AJ3" s="140" t="s">
        <v>332</v>
      </c>
      <c r="AK3" s="140" t="s">
        <v>549</v>
      </c>
      <c r="AM3" s="140"/>
      <c r="AN3" s="140" t="s">
        <v>724</v>
      </c>
      <c r="AO3" s="140" t="s">
        <v>723</v>
      </c>
      <c r="AP3" s="140" t="s">
        <v>738</v>
      </c>
      <c r="AR3" s="140"/>
      <c r="AS3" s="140" t="s">
        <v>333</v>
      </c>
      <c r="AT3" s="140" t="s">
        <v>334</v>
      </c>
      <c r="AV3" s="140"/>
      <c r="AW3" s="140" t="s">
        <v>335</v>
      </c>
      <c r="AX3" s="140" t="s">
        <v>336</v>
      </c>
      <c r="AY3" s="140" t="s">
        <v>337</v>
      </c>
      <c r="BA3" s="140"/>
      <c r="BB3" s="140" t="s">
        <v>338</v>
      </c>
      <c r="BC3" s="140" t="s">
        <v>339</v>
      </c>
      <c r="BD3" s="140" t="s">
        <v>340</v>
      </c>
      <c r="BF3" s="140"/>
      <c r="BG3" s="140" t="s">
        <v>355</v>
      </c>
      <c r="BH3" s="140" t="s">
        <v>356</v>
      </c>
      <c r="BI3" s="140" t="s">
        <v>357</v>
      </c>
      <c r="BK3" s="140"/>
      <c r="BL3" s="140" t="s">
        <v>341</v>
      </c>
      <c r="BM3" s="140" t="s">
        <v>342</v>
      </c>
      <c r="BN3" s="140" t="s">
        <v>343</v>
      </c>
      <c r="BO3" s="140" t="s">
        <v>344</v>
      </c>
      <c r="BQ3" s="140"/>
      <c r="BR3" s="140" t="s">
        <v>345</v>
      </c>
      <c r="BS3" s="140" t="s">
        <v>346</v>
      </c>
      <c r="BU3" s="140"/>
      <c r="BV3" s="140" t="s">
        <v>347</v>
      </c>
      <c r="BW3" s="140" t="s">
        <v>348</v>
      </c>
      <c r="BY3" s="140"/>
      <c r="BZ3" s="140" t="s">
        <v>349</v>
      </c>
      <c r="CA3" s="140" t="s">
        <v>350</v>
      </c>
      <c r="CC3" s="140"/>
      <c r="CD3" s="140" t="s">
        <v>351</v>
      </c>
      <c r="CE3" s="140" t="s">
        <v>352</v>
      </c>
      <c r="CF3" s="140" t="s">
        <v>353</v>
      </c>
      <c r="CH3" s="140"/>
      <c r="CI3" s="140" t="s">
        <v>358</v>
      </c>
      <c r="CJ3" s="140" t="s">
        <v>359</v>
      </c>
      <c r="CL3" s="140"/>
      <c r="CM3" s="140" t="s">
        <v>360</v>
      </c>
      <c r="CN3" s="140" t="s">
        <v>361</v>
      </c>
      <c r="CO3" s="140" t="s">
        <v>685</v>
      </c>
      <c r="CQ3" s="140"/>
      <c r="CR3" s="140" t="s">
        <v>601</v>
      </c>
      <c r="CS3" s="140" t="s">
        <v>602</v>
      </c>
      <c r="CT3" s="140" t="s">
        <v>603</v>
      </c>
    </row>
    <row r="4" spans="2:98">
      <c r="B4" s="138" t="s">
        <v>311</v>
      </c>
      <c r="C4" s="138">
        <v>19.913598056049914</v>
      </c>
      <c r="I4" s="140" t="s">
        <v>311</v>
      </c>
      <c r="J4" s="140">
        <v>22.222222222222221</v>
      </c>
      <c r="K4" s="140">
        <v>17.774762550881952</v>
      </c>
      <c r="M4" s="140" t="s">
        <v>311</v>
      </c>
      <c r="N4" s="140">
        <v>18.911917098445596</v>
      </c>
      <c r="O4" s="140">
        <v>20.544554455445542</v>
      </c>
      <c r="P4" s="140">
        <v>21.910112359550563</v>
      </c>
      <c r="Q4" s="140">
        <v>16.417910447761194</v>
      </c>
      <c r="S4" s="140" t="s">
        <v>311</v>
      </c>
      <c r="T4" s="140">
        <v>14.714714714714713</v>
      </c>
      <c r="U4" s="140">
        <v>18.37037037037037</v>
      </c>
      <c r="V4" s="140">
        <v>25.210084033613445</v>
      </c>
      <c r="W4" s="140">
        <v>27.931034482758619</v>
      </c>
      <c r="Y4" s="140" t="s">
        <v>311</v>
      </c>
      <c r="Z4" s="140">
        <v>34.615384615384613</v>
      </c>
      <c r="AA4" s="140">
        <v>19.166666666666668</v>
      </c>
      <c r="AC4" s="140" t="s">
        <v>311</v>
      </c>
      <c r="AD4" s="140">
        <v>28.099173553719009</v>
      </c>
      <c r="AE4" s="140">
        <v>18.259629101283881</v>
      </c>
      <c r="AF4" s="140">
        <v>23.870967741935484</v>
      </c>
      <c r="AH4" s="140" t="s">
        <v>311</v>
      </c>
      <c r="AI4" s="140">
        <v>26.764705882352942</v>
      </c>
      <c r="AJ4" s="140">
        <v>17.46268656716418</v>
      </c>
      <c r="AK4" s="140">
        <v>16.346153846153847</v>
      </c>
      <c r="AM4" s="140" t="s">
        <v>311</v>
      </c>
      <c r="AN4" s="140">
        <v>15.17</v>
      </c>
      <c r="AO4" s="140">
        <v>14.52</v>
      </c>
      <c r="AP4" s="140">
        <v>21.54</v>
      </c>
      <c r="AR4" s="140" t="s">
        <v>311</v>
      </c>
      <c r="AS4" s="140">
        <v>16.242038216560509</v>
      </c>
      <c r="AT4" s="140">
        <v>23.030303030303031</v>
      </c>
      <c r="AV4" s="140" t="s">
        <v>311</v>
      </c>
      <c r="AW4" s="140">
        <v>26.595744680851062</v>
      </c>
      <c r="AX4" s="140">
        <v>12.195121951219512</v>
      </c>
      <c r="AY4" s="140">
        <v>20.986093552465235</v>
      </c>
      <c r="BA4" s="140" t="s">
        <v>311</v>
      </c>
      <c r="BB4" s="140">
        <v>26.506024096385545</v>
      </c>
      <c r="BC4" s="140">
        <v>20.612813370473539</v>
      </c>
      <c r="BD4" s="140">
        <v>17.114568599717114</v>
      </c>
      <c r="BF4" s="140" t="s">
        <v>311</v>
      </c>
      <c r="BG4" s="140">
        <v>23.883928571428573</v>
      </c>
      <c r="BH4" s="140">
        <v>18.922852983988356</v>
      </c>
      <c r="BI4" s="140">
        <v>14.7679324894515</v>
      </c>
      <c r="BK4" s="140" t="s">
        <v>311</v>
      </c>
      <c r="BL4" s="140">
        <v>15.163934426229508</v>
      </c>
      <c r="BM4" s="140">
        <v>18.28793774319066</v>
      </c>
      <c r="BN4" s="140">
        <v>23.598820058997049</v>
      </c>
      <c r="BO4" s="140">
        <v>50.793650793650791</v>
      </c>
      <c r="BQ4" s="140" t="s">
        <v>311</v>
      </c>
      <c r="BR4" s="140">
        <v>31.088082901554404</v>
      </c>
      <c r="BS4" s="140">
        <v>17.50663129973475</v>
      </c>
      <c r="BU4" s="140" t="s">
        <v>311</v>
      </c>
      <c r="BV4" s="140">
        <v>37.037037037037038</v>
      </c>
      <c r="BW4" s="140">
        <v>17.703349282296653</v>
      </c>
      <c r="BY4" s="140" t="s">
        <v>311</v>
      </c>
      <c r="BZ4" s="140">
        <v>19.340659340659343</v>
      </c>
      <c r="CA4" s="140">
        <v>18.885869565217391</v>
      </c>
      <c r="CC4" s="140" t="s">
        <v>311</v>
      </c>
      <c r="CD4" s="140">
        <v>14.285714285714285</v>
      </c>
      <c r="CE4" s="140">
        <v>18.7012987012987</v>
      </c>
      <c r="CF4" s="140">
        <v>22.270742358078603</v>
      </c>
      <c r="CH4" s="140" t="s">
        <v>311</v>
      </c>
      <c r="CI4" s="140">
        <v>19.6875</v>
      </c>
      <c r="CJ4" s="140">
        <v>19.463087248322147</v>
      </c>
      <c r="CL4" s="140" t="s">
        <v>311</v>
      </c>
      <c r="CM4" s="140">
        <v>21.236559139784948</v>
      </c>
      <c r="CN4" s="140">
        <v>18.4375</v>
      </c>
      <c r="CO4" s="140">
        <v>20.512820512820515</v>
      </c>
      <c r="CQ4" s="140" t="s">
        <v>311</v>
      </c>
      <c r="CR4" s="140">
        <v>21.256038647342994</v>
      </c>
      <c r="CS4" s="140">
        <v>15.789473684210526</v>
      </c>
      <c r="CT4" s="140">
        <v>22.972972972972972</v>
      </c>
    </row>
    <row r="5" spans="2:98">
      <c r="B5" s="138" t="s">
        <v>312</v>
      </c>
      <c r="C5" s="138">
        <v>50.213409271035019</v>
      </c>
      <c r="I5" s="140" t="s">
        <v>312</v>
      </c>
      <c r="J5" s="140">
        <v>47.807017543859651</v>
      </c>
      <c r="K5" s="140">
        <v>52.374491180461327</v>
      </c>
      <c r="M5" s="140" t="s">
        <v>312</v>
      </c>
      <c r="N5" s="140">
        <v>50</v>
      </c>
      <c r="O5" s="140">
        <v>47.524752475247524</v>
      </c>
      <c r="P5" s="140">
        <v>49.719101123595507</v>
      </c>
      <c r="Q5" s="140">
        <v>55.597014925373131</v>
      </c>
      <c r="S5" s="140" t="s">
        <v>312</v>
      </c>
      <c r="T5" s="140">
        <v>50.750750750750754</v>
      </c>
      <c r="U5" s="140">
        <v>48.74074074074074</v>
      </c>
      <c r="V5" s="140">
        <v>53.781512605042018</v>
      </c>
      <c r="W5" s="140">
        <v>51.03448275862069</v>
      </c>
      <c r="Y5" s="140" t="s">
        <v>312</v>
      </c>
      <c r="Z5" s="140">
        <v>39.743589743589745</v>
      </c>
      <c r="AA5" s="140">
        <v>50.984848484848492</v>
      </c>
      <c r="AC5" s="140" t="s">
        <v>312</v>
      </c>
      <c r="AD5" s="140">
        <v>49.586776859504134</v>
      </c>
      <c r="AE5" s="140">
        <v>50.641940085592005</v>
      </c>
      <c r="AF5" s="140">
        <v>42.58064516129032</v>
      </c>
      <c r="AH5" s="140" t="s">
        <v>312</v>
      </c>
      <c r="AI5" s="140">
        <v>48.823529411764703</v>
      </c>
      <c r="AJ5" s="140">
        <v>51.64179104477612</v>
      </c>
      <c r="AK5" s="140">
        <v>53.846153846153847</v>
      </c>
      <c r="AM5" s="140" t="s">
        <v>312</v>
      </c>
      <c r="AN5" s="140">
        <v>39.35</v>
      </c>
      <c r="AO5" s="140">
        <v>42.9</v>
      </c>
      <c r="AP5" s="140">
        <v>53.24</v>
      </c>
      <c r="AR5" s="140" t="s">
        <v>312</v>
      </c>
      <c r="AS5" s="140">
        <v>53.821656050955411</v>
      </c>
      <c r="AT5" s="140">
        <v>45.454545454545453</v>
      </c>
      <c r="AV5" s="140" t="s">
        <v>312</v>
      </c>
      <c r="AW5" s="140">
        <v>45.390070921985817</v>
      </c>
      <c r="AX5" s="140">
        <v>52.134146341463413</v>
      </c>
      <c r="AY5" s="140">
        <v>51.580278128950695</v>
      </c>
      <c r="BA5" s="140" t="s">
        <v>312</v>
      </c>
      <c r="BB5" s="140">
        <v>41.265060240963855</v>
      </c>
      <c r="BC5" s="140">
        <v>50.417827298050142</v>
      </c>
      <c r="BD5" s="140">
        <v>54.738330975954739</v>
      </c>
      <c r="BF5" s="140" t="s">
        <v>312</v>
      </c>
      <c r="BG5" s="140">
        <v>48.214285714285715</v>
      </c>
      <c r="BH5" s="140">
        <v>50.509461426491995</v>
      </c>
      <c r="BI5" s="140">
        <v>54.430379746835442</v>
      </c>
      <c r="BK5" s="140" t="s">
        <v>312</v>
      </c>
      <c r="BL5" s="140">
        <v>47.745901639344261</v>
      </c>
      <c r="BM5" s="140">
        <v>54.863813229571988</v>
      </c>
      <c r="BN5" s="140">
        <v>51.622418879056042</v>
      </c>
      <c r="BO5" s="140">
        <v>26.984126984126984</v>
      </c>
      <c r="BQ5" s="140" t="s">
        <v>312</v>
      </c>
      <c r="BR5" s="140">
        <v>45.077720207253883</v>
      </c>
      <c r="BS5" s="140">
        <v>51.282051282051285</v>
      </c>
      <c r="BU5" s="140" t="s">
        <v>312</v>
      </c>
      <c r="BV5" s="140">
        <v>35.802469135802468</v>
      </c>
      <c r="BW5" s="140">
        <v>52.153110047846887</v>
      </c>
      <c r="BY5" s="140" t="s">
        <v>312</v>
      </c>
      <c r="BZ5" s="140">
        <v>45.494505494505496</v>
      </c>
      <c r="CA5" s="140">
        <v>51.902173913043484</v>
      </c>
      <c r="CC5" s="140" t="s">
        <v>312</v>
      </c>
      <c r="CD5" s="140">
        <v>42.857142857142854</v>
      </c>
      <c r="CE5" s="140">
        <v>51.94805194805194</v>
      </c>
      <c r="CF5" s="140">
        <v>47.161572052401745</v>
      </c>
      <c r="CH5" s="140" t="s">
        <v>312</v>
      </c>
      <c r="CI5" s="140">
        <v>48.958333333333336</v>
      </c>
      <c r="CJ5" s="140">
        <v>54.138702460850112</v>
      </c>
      <c r="CL5" s="140" t="s">
        <v>312</v>
      </c>
      <c r="CM5" s="140">
        <v>49.596774193548384</v>
      </c>
      <c r="CN5" s="140">
        <v>52.5</v>
      </c>
      <c r="CO5" s="140">
        <v>49.572649572649574</v>
      </c>
      <c r="CQ5" s="140" t="s">
        <v>312</v>
      </c>
      <c r="CR5" s="140">
        <v>53.623188405797102</v>
      </c>
      <c r="CS5" s="140">
        <v>48.830409356725148</v>
      </c>
      <c r="CT5" s="140">
        <v>50.675675675675677</v>
      </c>
    </row>
    <row r="6" spans="2:98">
      <c r="B6" s="138" t="s">
        <v>313</v>
      </c>
      <c r="C6" s="138">
        <v>25.945015177114318</v>
      </c>
      <c r="I6" s="140" t="s">
        <v>313</v>
      </c>
      <c r="J6" s="140">
        <v>26.315789473684209</v>
      </c>
      <c r="K6" s="140">
        <v>25.64450474898236</v>
      </c>
      <c r="M6" s="140" t="s">
        <v>313</v>
      </c>
      <c r="N6" s="140">
        <v>26.683937823834196</v>
      </c>
      <c r="O6" s="140">
        <v>28.960396039603957</v>
      </c>
      <c r="P6" s="140">
        <v>23.314606741573034</v>
      </c>
      <c r="Q6" s="140">
        <v>24.253731343283583</v>
      </c>
      <c r="S6" s="140" t="s">
        <v>313</v>
      </c>
      <c r="T6" s="140">
        <v>31.531531531531531</v>
      </c>
      <c r="U6" s="140">
        <v>27.851851851851851</v>
      </c>
      <c r="V6" s="140">
        <v>17.647058823529413</v>
      </c>
      <c r="W6" s="140">
        <v>18.275862068965516</v>
      </c>
      <c r="Y6" s="140" t="s">
        <v>313</v>
      </c>
      <c r="Z6" s="140">
        <v>24.358974358974358</v>
      </c>
      <c r="AA6" s="140">
        <v>25.757575757575758</v>
      </c>
      <c r="AC6" s="140" t="s">
        <v>313</v>
      </c>
      <c r="AD6" s="140">
        <v>19.421487603305785</v>
      </c>
      <c r="AE6" s="140">
        <v>27.532097004279599</v>
      </c>
      <c r="AF6" s="140">
        <v>29.032258064516132</v>
      </c>
      <c r="AH6" s="140" t="s">
        <v>313</v>
      </c>
      <c r="AI6" s="140">
        <v>20.294117647058822</v>
      </c>
      <c r="AJ6" s="140">
        <v>27.46268656716418</v>
      </c>
      <c r="AK6" s="140">
        <v>26.442307692307693</v>
      </c>
      <c r="AM6" s="140" t="s">
        <v>313</v>
      </c>
      <c r="AN6" s="140">
        <v>40.11</v>
      </c>
      <c r="AO6" s="140">
        <v>36.28</v>
      </c>
      <c r="AP6" s="140">
        <v>21.94</v>
      </c>
      <c r="AR6" s="140" t="s">
        <v>313</v>
      </c>
      <c r="AS6" s="140">
        <v>26.751592356687897</v>
      </c>
      <c r="AT6" s="140">
        <v>26.36363636363636</v>
      </c>
      <c r="AV6" s="140" t="s">
        <v>313</v>
      </c>
      <c r="AW6" s="140">
        <v>22.340425531914892</v>
      </c>
      <c r="AX6" s="140">
        <v>31.707317073170731</v>
      </c>
      <c r="AY6" s="140">
        <v>24.273072060682679</v>
      </c>
      <c r="BA6" s="140" t="s">
        <v>313</v>
      </c>
      <c r="BB6" s="140">
        <v>25.903614457831324</v>
      </c>
      <c r="BC6" s="140">
        <v>25.626740947075209</v>
      </c>
      <c r="BD6" s="140">
        <v>25.035360678925034</v>
      </c>
      <c r="BF6" s="140" t="s">
        <v>313</v>
      </c>
      <c r="BG6" s="140">
        <v>22.544642857142858</v>
      </c>
      <c r="BH6" s="140">
        <v>27.219796215429405</v>
      </c>
      <c r="BI6" s="140">
        <v>27.426160337552741</v>
      </c>
      <c r="BK6" s="140" t="s">
        <v>313</v>
      </c>
      <c r="BL6" s="140">
        <v>32.172131147540981</v>
      </c>
      <c r="BM6" s="140">
        <v>22.957198443579767</v>
      </c>
      <c r="BN6" s="140">
        <v>22.123893805309734</v>
      </c>
      <c r="BO6" s="140">
        <v>19.047619047619047</v>
      </c>
      <c r="BQ6" s="140" t="s">
        <v>313</v>
      </c>
      <c r="BR6" s="140">
        <v>19.17098445595855</v>
      </c>
      <c r="BS6" s="140">
        <v>27.409372236958443</v>
      </c>
      <c r="BU6" s="140" t="s">
        <v>313</v>
      </c>
      <c r="BV6" s="140">
        <v>21.604938271604937</v>
      </c>
      <c r="BW6" s="140">
        <v>26.395534290271133</v>
      </c>
      <c r="BY6" s="140" t="s">
        <v>313</v>
      </c>
      <c r="BZ6" s="140">
        <v>31.648351648351646</v>
      </c>
      <c r="CA6" s="140">
        <v>24.456521739130434</v>
      </c>
      <c r="CC6" s="140" t="s">
        <v>313</v>
      </c>
      <c r="CD6" s="140">
        <v>25.714285714285712</v>
      </c>
      <c r="CE6" s="140">
        <v>25.714285714285712</v>
      </c>
      <c r="CF6" s="140">
        <v>27.074235807860266</v>
      </c>
      <c r="CH6" s="140" t="s">
        <v>313</v>
      </c>
      <c r="CI6" s="140">
        <v>27.395833333333332</v>
      </c>
      <c r="CJ6" s="140">
        <v>22.371364653243848</v>
      </c>
      <c r="CL6" s="140" t="s">
        <v>313</v>
      </c>
      <c r="CM6" s="140">
        <v>25.403225806451612</v>
      </c>
      <c r="CN6" s="140">
        <v>25.625</v>
      </c>
      <c r="CO6" s="140">
        <v>24.786324786324787</v>
      </c>
      <c r="CQ6" s="140" t="s">
        <v>313</v>
      </c>
      <c r="CR6" s="140">
        <v>20.772946859903382</v>
      </c>
      <c r="CS6" s="140">
        <v>31.578947368421051</v>
      </c>
      <c r="CT6" s="140">
        <v>22.297297297297298</v>
      </c>
    </row>
    <row r="7" spans="2:98">
      <c r="B7" s="138" t="s">
        <v>314</v>
      </c>
      <c r="C7" s="138">
        <v>2.9458546261906751</v>
      </c>
      <c r="I7" s="140" t="s">
        <v>314</v>
      </c>
      <c r="J7" s="140">
        <v>2.4853801169590644</v>
      </c>
      <c r="K7" s="140">
        <v>3.3921302578018993</v>
      </c>
      <c r="M7" s="140" t="s">
        <v>314</v>
      </c>
      <c r="N7" s="140">
        <v>3.8860103626943006</v>
      </c>
      <c r="O7" s="140">
        <v>1.7326732673267329</v>
      </c>
      <c r="P7" s="140">
        <v>3.3707865168539324</v>
      </c>
      <c r="Q7" s="140">
        <v>3.3582089552238807</v>
      </c>
      <c r="S7" s="140" t="s">
        <v>314</v>
      </c>
      <c r="T7" s="140">
        <v>2.7027027027027026</v>
      </c>
      <c r="U7" s="140">
        <v>3.7037037037037033</v>
      </c>
      <c r="V7" s="140">
        <v>3.3613445378151261</v>
      </c>
      <c r="W7" s="140">
        <v>1.3793103448275863</v>
      </c>
      <c r="Y7" s="140" t="s">
        <v>314</v>
      </c>
      <c r="Z7" s="140">
        <v>1.2820512820512819</v>
      </c>
      <c r="AA7" s="140">
        <v>3.0303030303030303</v>
      </c>
      <c r="AC7" s="140" t="s">
        <v>314</v>
      </c>
      <c r="AD7" s="140">
        <v>2.4793388429752068</v>
      </c>
      <c r="AE7" s="140">
        <v>3.1383737517831669</v>
      </c>
      <c r="AF7" s="140">
        <v>1.935483870967742</v>
      </c>
      <c r="AH7" s="140" t="s">
        <v>314</v>
      </c>
      <c r="AI7" s="140">
        <v>3.2352941176470593</v>
      </c>
      <c r="AJ7" s="140">
        <v>2.6865671641791042</v>
      </c>
      <c r="AK7" s="140">
        <v>3.3653846153846154</v>
      </c>
      <c r="AM7" s="140" t="s">
        <v>314</v>
      </c>
      <c r="AN7" s="140">
        <v>3.05</v>
      </c>
      <c r="AO7" s="140">
        <v>3.74</v>
      </c>
      <c r="AP7" s="140">
        <v>2.77</v>
      </c>
      <c r="AR7" s="140" t="s">
        <v>314</v>
      </c>
      <c r="AS7" s="140">
        <v>2.547770700636943</v>
      </c>
      <c r="AT7" s="140">
        <v>4.2424242424242431</v>
      </c>
      <c r="AV7" s="140" t="s">
        <v>314</v>
      </c>
      <c r="AW7" s="140">
        <v>3.5460992907801421</v>
      </c>
      <c r="AX7" s="140">
        <v>3.3536585365853662</v>
      </c>
      <c r="AY7" s="140">
        <v>2.4020227560050569</v>
      </c>
      <c r="BA7" s="140" t="s">
        <v>314</v>
      </c>
      <c r="BB7" s="140">
        <v>4.5180722891566267</v>
      </c>
      <c r="BC7" s="140">
        <v>2.785515320334262</v>
      </c>
      <c r="BD7" s="140">
        <v>2.1216407355021216</v>
      </c>
      <c r="BF7" s="140" t="s">
        <v>314</v>
      </c>
      <c r="BG7" s="140">
        <v>4.2410714285714288</v>
      </c>
      <c r="BH7" s="140">
        <v>2.0378457059679769</v>
      </c>
      <c r="BI7" s="140">
        <v>3.3755274261603372</v>
      </c>
      <c r="BK7" s="140" t="s">
        <v>314</v>
      </c>
      <c r="BL7" s="140">
        <v>3.278688524590164</v>
      </c>
      <c r="BM7" s="140">
        <v>3.3073929961089497</v>
      </c>
      <c r="BN7" s="140">
        <v>2.6548672566371683</v>
      </c>
      <c r="BO7" s="140">
        <v>0</v>
      </c>
      <c r="BQ7" s="140" t="s">
        <v>314</v>
      </c>
      <c r="BR7" s="140">
        <v>3.6269430051813472</v>
      </c>
      <c r="BS7" s="140">
        <v>2.8293545534924847</v>
      </c>
      <c r="BU7" s="140" t="s">
        <v>314</v>
      </c>
      <c r="BV7" s="140">
        <v>2.4691358024691357</v>
      </c>
      <c r="BW7" s="140">
        <v>3.0303030303030303</v>
      </c>
      <c r="BY7" s="140" t="s">
        <v>314</v>
      </c>
      <c r="BZ7" s="140">
        <v>3.0769230769230771</v>
      </c>
      <c r="CA7" s="140">
        <v>3.3967391304347823</v>
      </c>
      <c r="CC7" s="140" t="s">
        <v>314</v>
      </c>
      <c r="CD7" s="140">
        <v>11.428571428571429</v>
      </c>
      <c r="CE7" s="140">
        <v>3.116883116883117</v>
      </c>
      <c r="CF7" s="140">
        <v>3.0567685589519651</v>
      </c>
      <c r="CH7" s="140" t="s">
        <v>314</v>
      </c>
      <c r="CI7" s="140">
        <v>3.0208333333333335</v>
      </c>
      <c r="CJ7" s="140">
        <v>2.9082774049217002</v>
      </c>
      <c r="CL7" s="140" t="s">
        <v>314</v>
      </c>
      <c r="CM7" s="140">
        <v>2.8225806451612905</v>
      </c>
      <c r="CN7" s="140">
        <v>2.5</v>
      </c>
      <c r="CO7" s="140">
        <v>4.2735042735042734</v>
      </c>
      <c r="CQ7" s="140" t="s">
        <v>314</v>
      </c>
      <c r="CR7" s="140">
        <v>2.8985507246376812</v>
      </c>
      <c r="CS7" s="140">
        <v>2.9239766081871346</v>
      </c>
      <c r="CT7" s="140">
        <v>3.0405405405405403</v>
      </c>
    </row>
    <row r="8" spans="2:98">
      <c r="B8" s="138" t="s">
        <v>315</v>
      </c>
      <c r="C8" s="138">
        <v>0.982122869610076</v>
      </c>
      <c r="I8" s="140" t="s">
        <v>315</v>
      </c>
      <c r="J8" s="140">
        <v>1.1695906432748537</v>
      </c>
      <c r="K8" s="140">
        <v>0.81411126187245586</v>
      </c>
      <c r="M8" s="140" t="s">
        <v>315</v>
      </c>
      <c r="N8" s="140">
        <v>0.5181347150259068</v>
      </c>
      <c r="O8" s="140">
        <v>1.2376237623762376</v>
      </c>
      <c r="P8" s="140">
        <v>1.6853932584269662</v>
      </c>
      <c r="Q8" s="140">
        <v>0.37313432835820892</v>
      </c>
      <c r="S8" s="140" t="s">
        <v>315</v>
      </c>
      <c r="T8" s="140">
        <v>0.3003003003003003</v>
      </c>
      <c r="U8" s="140">
        <v>1.3333333333333333</v>
      </c>
      <c r="V8" s="140">
        <v>0</v>
      </c>
      <c r="W8" s="140">
        <v>1.3793103448275863</v>
      </c>
      <c r="Y8" s="140" t="s">
        <v>315</v>
      </c>
      <c r="Z8" s="140">
        <v>0</v>
      </c>
      <c r="AA8" s="140">
        <v>1.0606060606060608</v>
      </c>
      <c r="AC8" s="140" t="s">
        <v>315</v>
      </c>
      <c r="AD8" s="140">
        <v>0.41322314049586778</v>
      </c>
      <c r="AE8" s="140">
        <v>0.42796005706134094</v>
      </c>
      <c r="AF8" s="140">
        <v>2.5806451612903225</v>
      </c>
      <c r="AH8" s="140" t="s">
        <v>315</v>
      </c>
      <c r="AI8" s="140">
        <v>0.88235294117647056</v>
      </c>
      <c r="AJ8" s="140">
        <v>0.74626865671641784</v>
      </c>
      <c r="AK8" s="140">
        <v>0</v>
      </c>
      <c r="AM8" s="140" t="s">
        <v>315</v>
      </c>
      <c r="AN8" s="140">
        <v>2.3199999999999998</v>
      </c>
      <c r="AO8" s="140">
        <v>2.5499999999999998</v>
      </c>
      <c r="AP8" s="140">
        <v>0.52</v>
      </c>
      <c r="AR8" s="140" t="s">
        <v>315</v>
      </c>
      <c r="AS8" s="140">
        <v>0.63694267515923575</v>
      </c>
      <c r="AT8" s="140">
        <v>0.90909090909090906</v>
      </c>
      <c r="AV8" s="140" t="s">
        <v>315</v>
      </c>
      <c r="AW8" s="140">
        <v>2.1276595744680851</v>
      </c>
      <c r="AX8" s="140">
        <v>0.6097560975609756</v>
      </c>
      <c r="AY8" s="140">
        <v>0.75853350189633373</v>
      </c>
      <c r="BA8" s="140" t="s">
        <v>315</v>
      </c>
      <c r="BB8" s="140">
        <v>1.8072289156626504</v>
      </c>
      <c r="BC8" s="140">
        <v>0.55710306406685239</v>
      </c>
      <c r="BD8" s="140">
        <v>0.99009900990099009</v>
      </c>
      <c r="BF8" s="140" t="s">
        <v>315</v>
      </c>
      <c r="BG8" s="140">
        <v>1.1160714285714286</v>
      </c>
      <c r="BH8" s="140">
        <v>1.3100436681222707</v>
      </c>
      <c r="BI8" s="140">
        <v>0</v>
      </c>
      <c r="BK8" s="140" t="s">
        <v>315</v>
      </c>
      <c r="BL8" s="140">
        <v>1.639344262295082</v>
      </c>
      <c r="BM8" s="140">
        <v>0.58365758754863817</v>
      </c>
      <c r="BN8" s="140">
        <v>0</v>
      </c>
      <c r="BO8" s="140">
        <v>3.1746031746031744</v>
      </c>
      <c r="BQ8" s="140" t="s">
        <v>315</v>
      </c>
      <c r="BR8" s="140">
        <v>1.0362694300518134</v>
      </c>
      <c r="BS8" s="140">
        <v>0.9725906277630415</v>
      </c>
      <c r="BU8" s="140" t="s">
        <v>315</v>
      </c>
      <c r="BV8" s="140">
        <v>3.0864197530864197</v>
      </c>
      <c r="BW8" s="140">
        <v>0.71770334928229662</v>
      </c>
      <c r="BY8" s="140" t="s">
        <v>315</v>
      </c>
      <c r="BZ8" s="140">
        <v>0.43956043956043955</v>
      </c>
      <c r="CA8" s="140">
        <v>1.3586956521739131</v>
      </c>
      <c r="CC8" s="140" t="s">
        <v>315</v>
      </c>
      <c r="CD8" s="140">
        <v>5.7142857142857144</v>
      </c>
      <c r="CE8" s="140">
        <v>0.51948051948051943</v>
      </c>
      <c r="CF8" s="140">
        <v>0.43668122270742354</v>
      </c>
      <c r="CH8" s="140" t="s">
        <v>315</v>
      </c>
      <c r="CI8" s="140">
        <v>0.9375</v>
      </c>
      <c r="CJ8" s="140">
        <v>1.1185682326621924</v>
      </c>
      <c r="CL8" s="140" t="s">
        <v>315</v>
      </c>
      <c r="CM8" s="140">
        <v>0.94086021505376349</v>
      </c>
      <c r="CN8" s="140">
        <v>0.9375</v>
      </c>
      <c r="CO8" s="140">
        <v>0.85470085470085466</v>
      </c>
      <c r="CQ8" s="140" t="s">
        <v>315</v>
      </c>
      <c r="CR8" s="140">
        <v>1.4492753623188406</v>
      </c>
      <c r="CS8" s="140">
        <v>0.8771929824561403</v>
      </c>
      <c r="CT8" s="140">
        <v>1.0135135135135136</v>
      </c>
    </row>
    <row r="9" spans="2:98">
      <c r="L9"/>
      <c r="R9"/>
      <c r="S9"/>
      <c r="W9"/>
      <c r="X9"/>
      <c r="Y9"/>
      <c r="Z9"/>
      <c r="AA9"/>
      <c r="AB9"/>
      <c r="AH9"/>
      <c r="AL9"/>
      <c r="AV9"/>
      <c r="AW9"/>
      <c r="AX9"/>
      <c r="AY9"/>
      <c r="BA9"/>
      <c r="BB9"/>
      <c r="BC9"/>
      <c r="BD9"/>
      <c r="CD9"/>
      <c r="CE9"/>
      <c r="CF9"/>
      <c r="CG9"/>
      <c r="CH9"/>
      <c r="CJ9"/>
      <c r="CK9"/>
      <c r="CL9"/>
      <c r="CM9"/>
    </row>
    <row r="10" spans="2:98">
      <c r="AB10"/>
      <c r="AG10"/>
      <c r="AH10"/>
      <c r="AI10"/>
      <c r="AL10"/>
      <c r="AQ10"/>
      <c r="AR10"/>
      <c r="AS10"/>
      <c r="AT10"/>
      <c r="AU10"/>
      <c r="AV10"/>
      <c r="AW10"/>
      <c r="AX10"/>
      <c r="AY10"/>
    </row>
    <row r="11" spans="2:98">
      <c r="AN11" s="139">
        <f>7.9+18.1</f>
        <v>26</v>
      </c>
    </row>
    <row r="36" spans="39:62">
      <c r="AM36" s="140"/>
      <c r="AN36" s="140" t="s">
        <v>724</v>
      </c>
      <c r="AO36" s="140" t="s">
        <v>723</v>
      </c>
      <c r="AP36" s="140" t="s">
        <v>738</v>
      </c>
      <c r="BG36" s="139">
        <f>BG42/$BJ$42*100</f>
        <v>16.262482168330955</v>
      </c>
      <c r="BH36" s="139">
        <f t="shared" ref="BH36:BI36" si="0">BH42/$BJ$42*100</f>
        <v>65.834522111269607</v>
      </c>
      <c r="BI36" s="139">
        <f t="shared" si="0"/>
        <v>17.902995720399428</v>
      </c>
    </row>
    <row r="37" spans="39:62">
      <c r="AM37" s="140" t="s">
        <v>311</v>
      </c>
      <c r="AN37" s="140">
        <v>15.17</v>
      </c>
      <c r="AO37" s="140">
        <v>14.52</v>
      </c>
      <c r="AP37" s="140">
        <v>21.54</v>
      </c>
      <c r="BG37">
        <v>65</v>
      </c>
      <c r="BH37">
        <v>169</v>
      </c>
      <c r="BI37">
        <v>47</v>
      </c>
      <c r="BJ37"/>
    </row>
    <row r="38" spans="39:62">
      <c r="AM38" s="140" t="s">
        <v>312</v>
      </c>
      <c r="AN38" s="140">
        <v>39.35</v>
      </c>
      <c r="AO38" s="140">
        <v>42.9</v>
      </c>
      <c r="AP38" s="140">
        <v>53.24</v>
      </c>
      <c r="BG38">
        <v>94</v>
      </c>
      <c r="BH38">
        <v>486</v>
      </c>
      <c r="BI38">
        <v>127</v>
      </c>
      <c r="BJ38"/>
    </row>
    <row r="39" spans="39:62">
      <c r="AM39" s="140" t="s">
        <v>313</v>
      </c>
      <c r="AN39" s="140">
        <v>40.11</v>
      </c>
      <c r="AO39" s="140">
        <v>36.28</v>
      </c>
      <c r="AP39" s="140">
        <v>21.94</v>
      </c>
      <c r="BG39">
        <v>48</v>
      </c>
      <c r="BH39">
        <v>243</v>
      </c>
      <c r="BI39">
        <v>67</v>
      </c>
      <c r="BJ39"/>
    </row>
    <row r="40" spans="39:62">
      <c r="AM40" s="140" t="s">
        <v>314</v>
      </c>
      <c r="AN40" s="140">
        <v>3.05</v>
      </c>
      <c r="AO40" s="140">
        <v>3.74</v>
      </c>
      <c r="AP40" s="140">
        <v>2.77</v>
      </c>
      <c r="BG40">
        <v>14</v>
      </c>
      <c r="BH40">
        <v>18</v>
      </c>
      <c r="BI40">
        <v>10</v>
      </c>
      <c r="BJ40"/>
    </row>
    <row r="41" spans="39:62">
      <c r="AM41" s="140" t="s">
        <v>315</v>
      </c>
      <c r="AN41" s="140">
        <v>2.3199999999999998</v>
      </c>
      <c r="AO41" s="140">
        <v>2.5499999999999998</v>
      </c>
      <c r="AP41" s="140">
        <v>0.52</v>
      </c>
      <c r="BG41">
        <v>7</v>
      </c>
      <c r="BH41">
        <v>7</v>
      </c>
      <c r="BI41">
        <v>0</v>
      </c>
      <c r="BJ41"/>
    </row>
    <row r="42" spans="39:62">
      <c r="BG42">
        <f>SUM(BG37:BG41)</f>
        <v>228</v>
      </c>
      <c r="BH42">
        <f t="shared" ref="BH42:BI42" si="1">SUM(BH37:BH41)</f>
        <v>923</v>
      </c>
      <c r="BI42">
        <f t="shared" si="1"/>
        <v>251</v>
      </c>
      <c r="BJ42">
        <f>SUM(BG42:BI42)</f>
        <v>1402</v>
      </c>
    </row>
    <row r="44" spans="39:62">
      <c r="BF44" s="140"/>
      <c r="BG44" s="140" t="s">
        <v>725</v>
      </c>
      <c r="BH44" s="140" t="s">
        <v>726</v>
      </c>
      <c r="BI44" s="140" t="s">
        <v>727</v>
      </c>
    </row>
    <row r="45" spans="39:62">
      <c r="BF45" s="140" t="s">
        <v>311</v>
      </c>
      <c r="BG45" s="140">
        <f>BG37*100/$BG$42</f>
        <v>28.508771929824562</v>
      </c>
      <c r="BH45" s="140">
        <f>BH37*100/$BH$42</f>
        <v>18.309859154929576</v>
      </c>
      <c r="BI45" s="140">
        <f>BI37*100/$BI$42</f>
        <v>18.725099601593627</v>
      </c>
    </row>
    <row r="46" spans="39:62">
      <c r="AN46" s="139" t="s">
        <v>737</v>
      </c>
      <c r="BF46" s="140" t="s">
        <v>312</v>
      </c>
      <c r="BG46" s="140">
        <f t="shared" ref="BG46:BG49" si="2">BG38*100/$BG$42</f>
        <v>41.228070175438596</v>
      </c>
      <c r="BH46" s="140">
        <f t="shared" ref="BH46:BH49" si="3">BH38*100/$BH$42</f>
        <v>52.654387865655472</v>
      </c>
      <c r="BI46" s="140">
        <f t="shared" ref="BI46:BI49" si="4">BI38*100/$BI$42</f>
        <v>50.597609561752989</v>
      </c>
    </row>
    <row r="47" spans="39:62">
      <c r="BF47" s="140" t="s">
        <v>313</v>
      </c>
      <c r="BG47" s="140">
        <f t="shared" si="2"/>
        <v>21.05263157894737</v>
      </c>
      <c r="BH47" s="140">
        <f t="shared" si="3"/>
        <v>26.327193932827736</v>
      </c>
      <c r="BI47" s="140">
        <f t="shared" si="4"/>
        <v>26.693227091633467</v>
      </c>
    </row>
    <row r="48" spans="39:62">
      <c r="AN48" s="139">
        <v>239</v>
      </c>
      <c r="AO48" s="139">
        <v>1055</v>
      </c>
      <c r="AP48" s="139">
        <v>103</v>
      </c>
      <c r="AQ48" s="139">
        <f>SUM(AN48:AP48)</f>
        <v>1397</v>
      </c>
      <c r="BF48" s="140" t="s">
        <v>314</v>
      </c>
      <c r="BG48" s="140">
        <f t="shared" si="2"/>
        <v>6.1403508771929829</v>
      </c>
      <c r="BH48" s="140">
        <f t="shared" si="3"/>
        <v>1.9501625135427951</v>
      </c>
      <c r="BI48" s="140">
        <f t="shared" si="4"/>
        <v>3.9840637450199203</v>
      </c>
    </row>
    <row r="49" spans="40:61">
      <c r="AN49" s="139">
        <f>AN48/AQ48*100</f>
        <v>17.108088761632068</v>
      </c>
      <c r="AO49" s="139">
        <f>AO48/AQ48*100</f>
        <v>75.518969219756627</v>
      </c>
      <c r="AP49" s="139">
        <f>AP48/AQ48*100</f>
        <v>7.3729420186113099</v>
      </c>
      <c r="BF49" s="140" t="s">
        <v>315</v>
      </c>
      <c r="BG49" s="140">
        <f t="shared" si="2"/>
        <v>3.0701754385964914</v>
      </c>
      <c r="BH49" s="140">
        <f t="shared" si="3"/>
        <v>0.75839653304442034</v>
      </c>
      <c r="BI49" s="140">
        <f t="shared" si="4"/>
        <v>0</v>
      </c>
    </row>
    <row r="73" spans="59:62">
      <c r="BG73" s="139">
        <f>BG79*100/$BJ$79</f>
        <v>31.710808876163206</v>
      </c>
      <c r="BH73" s="139">
        <f t="shared" ref="BH73:BI73" si="5">BH79*100/$BJ$79</f>
        <v>56.69291338582677</v>
      </c>
      <c r="BI73" s="139">
        <f t="shared" si="5"/>
        <v>11.596277738010022</v>
      </c>
    </row>
    <row r="74" spans="59:62">
      <c r="BG74">
        <v>101</v>
      </c>
      <c r="BH74">
        <v>153</v>
      </c>
      <c r="BI74">
        <v>26</v>
      </c>
      <c r="BJ74"/>
    </row>
    <row r="75" spans="59:62">
      <c r="BG75">
        <v>203</v>
      </c>
      <c r="BH75">
        <v>406</v>
      </c>
      <c r="BI75">
        <v>91</v>
      </c>
      <c r="BJ75"/>
    </row>
    <row r="76" spans="59:62">
      <c r="BG76">
        <v>115</v>
      </c>
      <c r="BH76">
        <v>207</v>
      </c>
      <c r="BI76">
        <v>39</v>
      </c>
      <c r="BJ76"/>
    </row>
    <row r="77" spans="59:62">
      <c r="BG77">
        <v>18</v>
      </c>
      <c r="BH77">
        <v>18</v>
      </c>
      <c r="BI77">
        <v>6</v>
      </c>
      <c r="BJ77"/>
    </row>
    <row r="78" spans="59:62">
      <c r="BG78">
        <v>6</v>
      </c>
      <c r="BH78">
        <v>8</v>
      </c>
      <c r="BI78">
        <v>0</v>
      </c>
      <c r="BJ78"/>
    </row>
    <row r="79" spans="59:62">
      <c r="BG79">
        <f>SUM(BG74:BG78)</f>
        <v>443</v>
      </c>
      <c r="BH79">
        <f t="shared" ref="BH79:BI79" si="6">SUM(BH74:BH78)</f>
        <v>792</v>
      </c>
      <c r="BI79">
        <f t="shared" si="6"/>
        <v>162</v>
      </c>
      <c r="BJ79">
        <f>SUM(BG79:BI79)</f>
        <v>1397</v>
      </c>
    </row>
    <row r="81" spans="58:61">
      <c r="BF81" s="140"/>
      <c r="BG81" s="140" t="s">
        <v>728</v>
      </c>
      <c r="BH81" s="140" t="s">
        <v>729</v>
      </c>
      <c r="BI81" s="140" t="s">
        <v>730</v>
      </c>
    </row>
    <row r="82" spans="58:61">
      <c r="BF82" s="140" t="s">
        <v>311</v>
      </c>
      <c r="BG82" s="140">
        <f>BG74*100/$BG$79</f>
        <v>22.799097065462753</v>
      </c>
      <c r="BH82" s="140">
        <f>BH74*100/$BH$79</f>
        <v>19.318181818181817</v>
      </c>
      <c r="BI82" s="140">
        <f>BI74*100/$BI$79</f>
        <v>16.049382716049383</v>
      </c>
    </row>
    <row r="83" spans="58:61">
      <c r="BF83" s="140" t="s">
        <v>312</v>
      </c>
      <c r="BG83" s="140">
        <f t="shared" ref="BG83:BG86" si="7">BG75*100/$BG$79</f>
        <v>45.823927765237023</v>
      </c>
      <c r="BH83" s="140">
        <f t="shared" ref="BH83:BH86" si="8">BH75*100/$BH$79</f>
        <v>51.262626262626263</v>
      </c>
      <c r="BI83" s="140">
        <f t="shared" ref="BI83:BI86" si="9">BI75*100/$BI$79</f>
        <v>56.172839506172842</v>
      </c>
    </row>
    <row r="84" spans="58:61">
      <c r="BF84" s="140" t="s">
        <v>313</v>
      </c>
      <c r="BG84" s="140">
        <f t="shared" si="7"/>
        <v>25.959367945823928</v>
      </c>
      <c r="BH84" s="140">
        <f t="shared" si="8"/>
        <v>26.136363636363637</v>
      </c>
      <c r="BI84" s="140">
        <f t="shared" si="9"/>
        <v>24.074074074074073</v>
      </c>
    </row>
    <row r="85" spans="58:61">
      <c r="BF85" s="140" t="s">
        <v>314</v>
      </c>
      <c r="BG85" s="140">
        <f t="shared" si="7"/>
        <v>4.0632054176072234</v>
      </c>
      <c r="BH85" s="140">
        <f t="shared" si="8"/>
        <v>2.2727272727272729</v>
      </c>
      <c r="BI85" s="140">
        <f t="shared" si="9"/>
        <v>3.7037037037037037</v>
      </c>
    </row>
    <row r="86" spans="58:61">
      <c r="BF86" s="140" t="s">
        <v>315</v>
      </c>
      <c r="BG86" s="140">
        <f t="shared" si="7"/>
        <v>1.3544018058690745</v>
      </c>
      <c r="BH86" s="140">
        <f t="shared" si="8"/>
        <v>1.0101010101010102</v>
      </c>
      <c r="BI86" s="140">
        <f t="shared" si="9"/>
        <v>0</v>
      </c>
    </row>
  </sheetData>
  <pageMargins left="0.7" right="0.7" top="0.75" bottom="0.75" header="0.3" footer="0.3"/>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7"/>
  <sheetViews>
    <sheetView topLeftCell="A13" workbookViewId="0">
      <selection activeCell="E37" sqref="E37"/>
    </sheetView>
  </sheetViews>
  <sheetFormatPr baseColWidth="10" defaultRowHeight="14" x14ac:dyDescent="0"/>
  <sheetData>
    <row r="1" spans="1:41">
      <c r="B1" s="254" t="s">
        <v>423</v>
      </c>
      <c r="C1" s="254"/>
      <c r="D1" s="254"/>
      <c r="F1" s="251" t="s">
        <v>429</v>
      </c>
      <c r="G1" s="252"/>
      <c r="H1" s="252"/>
      <c r="I1" s="252"/>
      <c r="J1" s="252"/>
      <c r="K1" s="252"/>
      <c r="L1" s="252"/>
      <c r="M1" s="252"/>
      <c r="N1" s="252"/>
      <c r="O1" s="252"/>
      <c r="P1" s="253"/>
      <c r="R1" s="248" t="s">
        <v>415</v>
      </c>
      <c r="S1" s="248"/>
      <c r="T1" s="248"/>
      <c r="V1" s="254" t="s">
        <v>446</v>
      </c>
      <c r="W1" s="254"/>
      <c r="X1" s="254"/>
      <c r="Y1" s="254"/>
      <c r="Z1" s="254"/>
      <c r="AA1" s="254"/>
      <c r="AB1" s="254"/>
      <c r="AM1" s="248" t="s">
        <v>463</v>
      </c>
      <c r="AN1" s="248"/>
      <c r="AO1" s="38"/>
    </row>
    <row r="2" spans="1:41">
      <c r="B2" s="257" t="s">
        <v>424</v>
      </c>
      <c r="C2" s="257"/>
      <c r="D2" s="141">
        <v>0.90961761731603774</v>
      </c>
      <c r="F2" s="145" t="s">
        <v>354</v>
      </c>
      <c r="G2" s="145"/>
      <c r="H2" s="146" t="s">
        <v>430</v>
      </c>
      <c r="I2" s="146" t="s">
        <v>431</v>
      </c>
      <c r="J2" s="146" t="s">
        <v>432</v>
      </c>
      <c r="K2" s="146" t="s">
        <v>418</v>
      </c>
      <c r="L2" s="146" t="s">
        <v>433</v>
      </c>
      <c r="M2" s="146" t="s">
        <v>419</v>
      </c>
      <c r="N2" s="146" t="s">
        <v>420</v>
      </c>
      <c r="O2" s="146" t="s">
        <v>421</v>
      </c>
      <c r="P2" s="146" t="s">
        <v>434</v>
      </c>
      <c r="R2" s="145" t="s">
        <v>354</v>
      </c>
      <c r="S2" s="146" t="s">
        <v>416</v>
      </c>
      <c r="T2" s="146" t="s">
        <v>417</v>
      </c>
      <c r="V2" s="255" t="s">
        <v>447</v>
      </c>
      <c r="W2" s="256" t="s">
        <v>448</v>
      </c>
      <c r="X2" s="256"/>
      <c r="Y2" s="256"/>
      <c r="Z2" s="256" t="s">
        <v>449</v>
      </c>
      <c r="AA2" s="256"/>
      <c r="AB2" s="256"/>
      <c r="AM2" s="249" t="s">
        <v>354</v>
      </c>
      <c r="AN2" s="146" t="s">
        <v>447</v>
      </c>
      <c r="AO2" s="38"/>
    </row>
    <row r="3" spans="1:41" ht="23">
      <c r="B3" s="257" t="s">
        <v>425</v>
      </c>
      <c r="C3" s="142" t="s">
        <v>426</v>
      </c>
      <c r="D3" s="143">
        <v>5687.781601436136</v>
      </c>
      <c r="F3" s="147" t="s">
        <v>435</v>
      </c>
      <c r="G3" s="148" t="s">
        <v>430</v>
      </c>
      <c r="H3" s="141">
        <v>0.49422532217481357</v>
      </c>
      <c r="I3" s="141">
        <v>-5.1643464593312496E-2</v>
      </c>
      <c r="J3" s="141">
        <v>7.1863708920466441E-3</v>
      </c>
      <c r="K3" s="141">
        <v>-0.12607440565761863</v>
      </c>
      <c r="L3" s="141">
        <v>-6.8269469606433167E-2</v>
      </c>
      <c r="M3" s="141">
        <v>-6.3160451293754083E-2</v>
      </c>
      <c r="N3" s="141">
        <v>7.9246614110191661E-3</v>
      </c>
      <c r="O3" s="141">
        <v>-0.12316169160491779</v>
      </c>
      <c r="P3" s="141">
        <v>-1.6067474928632185E-3</v>
      </c>
      <c r="R3" s="148" t="s">
        <v>430</v>
      </c>
      <c r="S3" s="143">
        <v>1</v>
      </c>
      <c r="T3" s="141">
        <v>0.57351481413302319</v>
      </c>
      <c r="V3" s="255"/>
      <c r="W3" s="150" t="s">
        <v>117</v>
      </c>
      <c r="X3" s="150" t="s">
        <v>450</v>
      </c>
      <c r="Y3" s="150" t="s">
        <v>451</v>
      </c>
      <c r="Z3" s="150" t="s">
        <v>117</v>
      </c>
      <c r="AA3" s="150" t="s">
        <v>450</v>
      </c>
      <c r="AB3" s="150" t="s">
        <v>451</v>
      </c>
      <c r="AM3" s="249"/>
      <c r="AN3" s="146" t="s">
        <v>452</v>
      </c>
      <c r="AO3" s="38"/>
    </row>
    <row r="4" spans="1:41">
      <c r="B4" s="257"/>
      <c r="C4" s="142" t="s">
        <v>427</v>
      </c>
      <c r="D4" s="144">
        <v>36</v>
      </c>
      <c r="F4" s="147"/>
      <c r="G4" s="148" t="s">
        <v>431</v>
      </c>
      <c r="H4" s="141">
        <v>-5.1643464593312496E-2</v>
      </c>
      <c r="I4" s="141">
        <v>0.67921785192641371</v>
      </c>
      <c r="J4" s="141">
        <v>-9.788685402185196E-2</v>
      </c>
      <c r="K4" s="141">
        <v>-5.6372151412375497E-2</v>
      </c>
      <c r="L4" s="141">
        <v>-5.8547728733560706E-2</v>
      </c>
      <c r="M4" s="141">
        <v>-1.1634850031331733E-2</v>
      </c>
      <c r="N4" s="141">
        <v>2.2075639374556859E-2</v>
      </c>
      <c r="O4" s="141">
        <v>-7.1130353575558053E-2</v>
      </c>
      <c r="P4" s="141">
        <v>-6.2864802059571359E-2</v>
      </c>
      <c r="R4" s="148" t="s">
        <v>431</v>
      </c>
      <c r="S4" s="143">
        <v>1</v>
      </c>
      <c r="T4" s="141">
        <v>0.41126646546048307</v>
      </c>
      <c r="V4" s="148" t="s">
        <v>452</v>
      </c>
      <c r="W4" s="143">
        <v>4.7094427771167355</v>
      </c>
      <c r="X4" s="143">
        <v>52.327141967963726</v>
      </c>
      <c r="Y4" s="143">
        <v>52.327141967963726</v>
      </c>
      <c r="Z4" s="143">
        <v>4.7094427771167355</v>
      </c>
      <c r="AA4" s="143">
        <v>52.327141967963726</v>
      </c>
      <c r="AB4" s="143">
        <v>52.327141967963726</v>
      </c>
      <c r="AM4" s="148" t="s">
        <v>430</v>
      </c>
      <c r="AN4" s="141">
        <v>0.75730760865913871</v>
      </c>
      <c r="AO4" s="38"/>
    </row>
    <row r="5" spans="1:41">
      <c r="B5" s="257"/>
      <c r="C5" s="142" t="s">
        <v>428</v>
      </c>
      <c r="D5" s="143">
        <v>0</v>
      </c>
      <c r="F5" s="147"/>
      <c r="G5" s="148" t="s">
        <v>432</v>
      </c>
      <c r="H5" s="141">
        <v>7.1863708920466441E-3</v>
      </c>
      <c r="I5" s="141">
        <v>-9.788685402185196E-2</v>
      </c>
      <c r="J5" s="141">
        <v>0.61261585970764898</v>
      </c>
      <c r="K5" s="141">
        <v>-8.4618343135655874E-2</v>
      </c>
      <c r="L5" s="141">
        <v>-0.19527321643098608</v>
      </c>
      <c r="M5" s="141">
        <v>3.3027408245835228E-2</v>
      </c>
      <c r="N5" s="141">
        <v>-6.2511367787783059E-2</v>
      </c>
      <c r="O5" s="141">
        <v>7.020671539200397E-3</v>
      </c>
      <c r="P5" s="141">
        <v>-6.6770608379962279E-2</v>
      </c>
      <c r="R5" s="148" t="s">
        <v>432</v>
      </c>
      <c r="S5" s="143">
        <v>1</v>
      </c>
      <c r="T5" s="141">
        <v>0.41244734505683267</v>
      </c>
      <c r="V5" s="148" t="s">
        <v>453</v>
      </c>
      <c r="W5" s="141">
        <v>0.94140951401990136</v>
      </c>
      <c r="X5" s="143">
        <v>10.460105711332238</v>
      </c>
      <c r="Y5" s="143">
        <v>62.787247679295966</v>
      </c>
      <c r="Z5" s="151"/>
      <c r="AA5" s="151"/>
      <c r="AB5" s="151"/>
      <c r="AM5" s="148" t="s">
        <v>431</v>
      </c>
      <c r="AN5" s="141">
        <v>0.64130060460012284</v>
      </c>
      <c r="AO5" s="38"/>
    </row>
    <row r="6" spans="1:41">
      <c r="F6" s="147"/>
      <c r="G6" s="148" t="s">
        <v>418</v>
      </c>
      <c r="H6" s="141">
        <v>-0.12607440565761863</v>
      </c>
      <c r="I6" s="141">
        <v>-5.6372151412375497E-2</v>
      </c>
      <c r="J6" s="141">
        <v>-8.4618343135655874E-2</v>
      </c>
      <c r="K6" s="141">
        <v>0.46392654571423458</v>
      </c>
      <c r="L6" s="141">
        <v>-7.5291745346398233E-3</v>
      </c>
      <c r="M6" s="141">
        <v>-0.12859078829895304</v>
      </c>
      <c r="N6" s="141">
        <v>-3.081302617251095E-2</v>
      </c>
      <c r="O6" s="141">
        <v>-5.8294423085073432E-2</v>
      </c>
      <c r="P6" s="141">
        <v>-1.3752900684519096E-2</v>
      </c>
      <c r="R6" s="148" t="s">
        <v>418</v>
      </c>
      <c r="S6" s="143">
        <v>1</v>
      </c>
      <c r="T6" s="141">
        <v>0.61657622950128854</v>
      </c>
      <c r="V6" s="148" t="s">
        <v>454</v>
      </c>
      <c r="W6" s="141">
        <v>0.68100158960636958</v>
      </c>
      <c r="X6" s="143">
        <v>7.5666843289596617</v>
      </c>
      <c r="Y6" s="143">
        <v>70.353932008255626</v>
      </c>
      <c r="Z6" s="151"/>
      <c r="AA6" s="151"/>
      <c r="AB6" s="151"/>
      <c r="AM6" s="148" t="s">
        <v>432</v>
      </c>
      <c r="AN6" s="141">
        <v>0.64222063580737787</v>
      </c>
      <c r="AO6" s="38"/>
    </row>
    <row r="7" spans="1:41">
      <c r="F7" s="147"/>
      <c r="G7" s="148" t="s">
        <v>433</v>
      </c>
      <c r="H7" s="141">
        <v>-6.8269469606433167E-2</v>
      </c>
      <c r="I7" s="141">
        <v>-5.8547728733560706E-2</v>
      </c>
      <c r="J7" s="141">
        <v>-0.19527321643098608</v>
      </c>
      <c r="K7" s="141">
        <v>-7.5291745346398233E-3</v>
      </c>
      <c r="L7" s="141">
        <v>0.56951441467844277</v>
      </c>
      <c r="M7" s="141">
        <v>2.8638044060950378E-2</v>
      </c>
      <c r="N7" s="141">
        <v>-0.11317531106553137</v>
      </c>
      <c r="O7" s="141">
        <v>-6.3787425667355862E-3</v>
      </c>
      <c r="P7" s="141">
        <v>-8.4988598236141924E-2</v>
      </c>
      <c r="R7" s="148" t="s">
        <v>433</v>
      </c>
      <c r="S7" s="143">
        <v>1</v>
      </c>
      <c r="T7" s="141">
        <v>0.47084171163605432</v>
      </c>
      <c r="V7" s="148" t="s">
        <v>455</v>
      </c>
      <c r="W7" s="141">
        <v>0.61962512366057509</v>
      </c>
      <c r="X7" s="143">
        <v>6.8847235962286124</v>
      </c>
      <c r="Y7" s="143">
        <v>77.238655604484237</v>
      </c>
      <c r="Z7" s="151"/>
      <c r="AA7" s="151"/>
      <c r="AB7" s="151"/>
      <c r="AM7" s="148" t="s">
        <v>418</v>
      </c>
      <c r="AN7" s="141">
        <v>0.78522368118981778</v>
      </c>
      <c r="AO7" s="38"/>
    </row>
    <row r="8" spans="1:41">
      <c r="A8" s="247" t="s">
        <v>496</v>
      </c>
      <c r="B8" s="247"/>
      <c r="C8" s="247"/>
      <c r="D8" s="247"/>
      <c r="F8" s="147"/>
      <c r="G8" s="148" t="s">
        <v>419</v>
      </c>
      <c r="H8" s="141">
        <v>-6.3160451293754083E-2</v>
      </c>
      <c r="I8" s="141">
        <v>-1.1634850031331733E-2</v>
      </c>
      <c r="J8" s="141">
        <v>3.3027408245835228E-2</v>
      </c>
      <c r="K8" s="141">
        <v>-0.12859078829895304</v>
      </c>
      <c r="L8" s="141">
        <v>2.8638044060950378E-2</v>
      </c>
      <c r="M8" s="141">
        <v>0.5168151373919827</v>
      </c>
      <c r="N8" s="141">
        <v>-0.10645473219004858</v>
      </c>
      <c r="O8" s="141">
        <v>-9.2089952417102855E-2</v>
      </c>
      <c r="P8" s="141">
        <v>-3.8336057530852452E-2</v>
      </c>
      <c r="R8" s="148" t="s">
        <v>419</v>
      </c>
      <c r="S8" s="143">
        <v>1</v>
      </c>
      <c r="T8" s="141">
        <v>0.52726491584575075</v>
      </c>
      <c r="V8" s="148" t="s">
        <v>456</v>
      </c>
      <c r="W8" s="141">
        <v>0.5071105267473992</v>
      </c>
      <c r="X8" s="143">
        <v>5.6345614083044353</v>
      </c>
      <c r="Y8" s="143">
        <v>82.873217012788672</v>
      </c>
      <c r="Z8" s="151"/>
      <c r="AA8" s="151"/>
      <c r="AB8" s="151"/>
      <c r="AM8" s="148" t="s">
        <v>433</v>
      </c>
      <c r="AN8" s="141">
        <v>0.68617906674282503</v>
      </c>
      <c r="AO8" s="38"/>
    </row>
    <row r="9" spans="1:41">
      <c r="A9" s="247"/>
      <c r="B9" s="247"/>
      <c r="C9" s="247"/>
      <c r="D9" s="247"/>
      <c r="F9" s="147"/>
      <c r="G9" s="148" t="s">
        <v>420</v>
      </c>
      <c r="H9" s="141">
        <v>7.9246614110191661E-3</v>
      </c>
      <c r="I9" s="141">
        <v>2.2075639374556859E-2</v>
      </c>
      <c r="J9" s="141">
        <v>-6.2511367787783059E-2</v>
      </c>
      <c r="K9" s="141">
        <v>-3.081302617251095E-2</v>
      </c>
      <c r="L9" s="141">
        <v>-0.11317531106553137</v>
      </c>
      <c r="M9" s="141">
        <v>-0.10645473219004858</v>
      </c>
      <c r="N9" s="141">
        <v>0.51726352961600985</v>
      </c>
      <c r="O9" s="141">
        <v>-0.11911069135688235</v>
      </c>
      <c r="P9" s="141">
        <v>-4.1781016759756005E-2</v>
      </c>
      <c r="R9" s="148" t="s">
        <v>420</v>
      </c>
      <c r="S9" s="143">
        <v>1</v>
      </c>
      <c r="T9" s="141">
        <v>0.56234136161214399</v>
      </c>
      <c r="V9" s="148" t="s">
        <v>457</v>
      </c>
      <c r="W9" s="141">
        <v>0.48585279184676261</v>
      </c>
      <c r="X9" s="143">
        <v>5.3983643538529176</v>
      </c>
      <c r="Y9" s="143">
        <v>88.271581366641584</v>
      </c>
      <c r="Z9" s="151"/>
      <c r="AA9" s="151"/>
      <c r="AB9" s="151"/>
      <c r="AM9" s="148" t="s">
        <v>419</v>
      </c>
      <c r="AN9" s="141">
        <v>0.72613009567552755</v>
      </c>
      <c r="AO9" s="38"/>
    </row>
    <row r="10" spans="1:41">
      <c r="A10" s="247"/>
      <c r="B10" s="247"/>
      <c r="C10" s="247"/>
      <c r="D10" s="247"/>
      <c r="F10" s="147"/>
      <c r="G10" s="148" t="s">
        <v>421</v>
      </c>
      <c r="H10" s="141">
        <v>-0.12316169160491779</v>
      </c>
      <c r="I10" s="141">
        <v>-7.1130353575558053E-2</v>
      </c>
      <c r="J10" s="141">
        <v>7.020671539200397E-3</v>
      </c>
      <c r="K10" s="141">
        <v>-5.8294423085073432E-2</v>
      </c>
      <c r="L10" s="141">
        <v>-6.3787425667355862E-3</v>
      </c>
      <c r="M10" s="141">
        <v>-9.2089952417102855E-2</v>
      </c>
      <c r="N10" s="141">
        <v>-0.11911069135688235</v>
      </c>
      <c r="O10" s="141">
        <v>0.38863543276636575</v>
      </c>
      <c r="P10" s="141">
        <v>-9.7709279473168653E-2</v>
      </c>
      <c r="R10" s="148" t="s">
        <v>421</v>
      </c>
      <c r="S10" s="143">
        <v>1</v>
      </c>
      <c r="T10" s="141">
        <v>0.68369863780231055</v>
      </c>
      <c r="V10" s="148" t="s">
        <v>458</v>
      </c>
      <c r="W10" s="141">
        <v>0.39973807144257767</v>
      </c>
      <c r="X10" s="143">
        <v>4.4415341271397519</v>
      </c>
      <c r="Y10" s="143">
        <v>92.713115493781331</v>
      </c>
      <c r="Z10" s="151"/>
      <c r="AA10" s="151"/>
      <c r="AB10" s="151"/>
      <c r="AM10" s="148" t="s">
        <v>420</v>
      </c>
      <c r="AN10" s="141">
        <v>0.74989423361707752</v>
      </c>
      <c r="AO10" s="38"/>
    </row>
    <row r="11" spans="1:41">
      <c r="A11" s="247"/>
      <c r="B11" s="247"/>
      <c r="C11" s="247"/>
      <c r="D11" s="247"/>
      <c r="F11" s="147"/>
      <c r="G11" s="148" t="s">
        <v>434</v>
      </c>
      <c r="H11" s="141">
        <v>-1.6067474928632185E-3</v>
      </c>
      <c r="I11" s="141">
        <v>-6.2864802059571359E-2</v>
      </c>
      <c r="J11" s="141">
        <v>-6.6770608379962279E-2</v>
      </c>
      <c r="K11" s="141">
        <v>-1.3752900684519096E-2</v>
      </c>
      <c r="L11" s="141">
        <v>-8.4988598236141924E-2</v>
      </c>
      <c r="M11" s="141">
        <v>-3.8336057530852452E-2</v>
      </c>
      <c r="N11" s="141">
        <v>-4.1781016759756005E-2</v>
      </c>
      <c r="O11" s="141">
        <v>-9.7709279473168653E-2</v>
      </c>
      <c r="P11" s="141">
        <v>0.64565313612149133</v>
      </c>
      <c r="R11" s="148" t="s">
        <v>434</v>
      </c>
      <c r="S11" s="143">
        <v>1</v>
      </c>
      <c r="T11" s="141">
        <v>0.45149129606884825</v>
      </c>
      <c r="V11" s="148" t="s">
        <v>459</v>
      </c>
      <c r="W11" s="141">
        <v>0.35488041747804433</v>
      </c>
      <c r="X11" s="143">
        <v>3.9431157497560481</v>
      </c>
      <c r="Y11" s="143">
        <v>96.656231243537377</v>
      </c>
      <c r="Z11" s="151"/>
      <c r="AA11" s="151"/>
      <c r="AB11" s="151"/>
      <c r="AM11" s="148" t="s">
        <v>421</v>
      </c>
      <c r="AN11" s="141">
        <v>0.82686071245543558</v>
      </c>
      <c r="AO11" s="38"/>
    </row>
    <row r="12" spans="1:41">
      <c r="F12" s="147" t="s">
        <v>436</v>
      </c>
      <c r="G12" s="148" t="s">
        <v>430</v>
      </c>
      <c r="H12" s="149" t="s">
        <v>438</v>
      </c>
      <c r="I12" s="141">
        <v>-8.9135012023872223E-2</v>
      </c>
      <c r="J12" s="141">
        <v>1.3060295793250768E-2</v>
      </c>
      <c r="K12" s="141">
        <v>-0.26329330811339047</v>
      </c>
      <c r="L12" s="141">
        <v>-0.1286801835793619</v>
      </c>
      <c r="M12" s="141">
        <v>-0.12497268916876202</v>
      </c>
      <c r="N12" s="141">
        <v>1.5673366516862287E-2</v>
      </c>
      <c r="O12" s="141">
        <v>-0.28102305572415592</v>
      </c>
      <c r="P12" s="141">
        <v>-2.8443661520408353E-3</v>
      </c>
      <c r="R12" s="147" t="s">
        <v>422</v>
      </c>
      <c r="S12" s="147"/>
      <c r="T12" s="147"/>
      <c r="V12" s="148" t="s">
        <v>460</v>
      </c>
      <c r="W12" s="141">
        <v>0.30093918808163611</v>
      </c>
      <c r="X12" s="143">
        <v>3.3437687564626235</v>
      </c>
      <c r="Y12" s="143">
        <v>100</v>
      </c>
      <c r="Z12" s="151"/>
      <c r="AA12" s="151"/>
      <c r="AB12" s="151"/>
      <c r="AM12" s="148" t="s">
        <v>434</v>
      </c>
      <c r="AN12" s="141">
        <v>0.67193102032042562</v>
      </c>
      <c r="AO12" s="38"/>
    </row>
    <row r="13" spans="1:41">
      <c r="F13" s="147"/>
      <c r="G13" s="148" t="s">
        <v>431</v>
      </c>
      <c r="H13" s="141">
        <v>-8.9135012023872223E-2</v>
      </c>
      <c r="I13" s="149" t="s">
        <v>439</v>
      </c>
      <c r="J13" s="141">
        <v>-0.15174895430749166</v>
      </c>
      <c r="K13" s="141">
        <v>-0.10042352278794378</v>
      </c>
      <c r="L13" s="141">
        <v>-9.4135437553857587E-2</v>
      </c>
      <c r="M13" s="141">
        <v>-1.9637610011468354E-2</v>
      </c>
      <c r="N13" s="141">
        <v>3.7243699628733938E-2</v>
      </c>
      <c r="O13" s="141">
        <v>-0.13844562131891205</v>
      </c>
      <c r="P13" s="141">
        <v>-9.4929976644533315E-2</v>
      </c>
      <c r="V13" s="257" t="s">
        <v>422</v>
      </c>
      <c r="W13" s="257"/>
      <c r="X13" s="257"/>
      <c r="Y13" s="257"/>
      <c r="Z13" s="257"/>
      <c r="AA13" s="257"/>
      <c r="AB13" s="257"/>
      <c r="AM13" s="246" t="s">
        <v>461</v>
      </c>
      <c r="AN13" s="246"/>
      <c r="AO13" s="38"/>
    </row>
    <row r="14" spans="1:41">
      <c r="F14" s="147"/>
      <c r="G14" s="148" t="s">
        <v>432</v>
      </c>
      <c r="H14" s="141">
        <v>1.3060295793250768E-2</v>
      </c>
      <c r="I14" s="141">
        <v>-0.15174895430749166</v>
      </c>
      <c r="J14" s="149" t="s">
        <v>440</v>
      </c>
      <c r="K14" s="141">
        <v>-0.15872516520570903</v>
      </c>
      <c r="L14" s="141">
        <v>-0.33059493953287999</v>
      </c>
      <c r="M14" s="141">
        <v>5.8696575474547805E-2</v>
      </c>
      <c r="N14" s="141">
        <v>-0.11104754307685334</v>
      </c>
      <c r="O14" s="141">
        <v>1.4388427749702927E-2</v>
      </c>
      <c r="P14" s="141">
        <v>-0.10616749807482746</v>
      </c>
      <c r="AM14" s="246" t="s">
        <v>462</v>
      </c>
      <c r="AN14" s="246"/>
      <c r="AO14" s="38"/>
    </row>
    <row r="15" spans="1:41">
      <c r="F15" s="147"/>
      <c r="G15" s="148" t="s">
        <v>418</v>
      </c>
      <c r="H15" s="141">
        <v>-0.26329330811339047</v>
      </c>
      <c r="I15" s="141">
        <v>-0.10042352278794378</v>
      </c>
      <c r="J15" s="141">
        <v>-0.15872516520570903</v>
      </c>
      <c r="K15" s="149" t="s">
        <v>441</v>
      </c>
      <c r="L15" s="141">
        <v>-1.4647732244289977E-2</v>
      </c>
      <c r="M15" s="141">
        <v>-0.26261385457799191</v>
      </c>
      <c r="N15" s="141">
        <v>-6.2900458571029161E-2</v>
      </c>
      <c r="O15" s="141">
        <v>-0.13728756432388539</v>
      </c>
      <c r="P15" s="141">
        <v>-2.5128702379301465E-2</v>
      </c>
    </row>
    <row r="16" spans="1:41">
      <c r="F16" s="147"/>
      <c r="G16" s="148" t="s">
        <v>433</v>
      </c>
      <c r="H16" s="141">
        <v>-0.1286801835793619</v>
      </c>
      <c r="I16" s="141">
        <v>-9.4135437553857587E-2</v>
      </c>
      <c r="J16" s="141">
        <v>-0.33059493953287999</v>
      </c>
      <c r="K16" s="141">
        <v>-1.4647732244289977E-2</v>
      </c>
      <c r="L16" s="149" t="s">
        <v>442</v>
      </c>
      <c r="M16" s="141">
        <v>5.2786562309773244E-2</v>
      </c>
      <c r="N16" s="141">
        <v>-0.20851793097973775</v>
      </c>
      <c r="O16" s="141">
        <v>-1.3558496022240378E-2</v>
      </c>
      <c r="P16" s="141">
        <v>-0.1401550250746427</v>
      </c>
    </row>
    <row r="17" spans="2:41">
      <c r="F17" s="147"/>
      <c r="G17" s="148" t="s">
        <v>419</v>
      </c>
      <c r="H17" s="141">
        <v>-0.12497268916876202</v>
      </c>
      <c r="I17" s="141">
        <v>-1.9637610011468354E-2</v>
      </c>
      <c r="J17" s="141">
        <v>5.8696575474547805E-2</v>
      </c>
      <c r="K17" s="141">
        <v>-0.26261385457799191</v>
      </c>
      <c r="L17" s="141">
        <v>5.2786562309773244E-2</v>
      </c>
      <c r="M17" s="149" t="s">
        <v>443</v>
      </c>
      <c r="N17" s="141">
        <v>-0.20589292786783769</v>
      </c>
      <c r="O17" s="141">
        <v>-0.20548183667324854</v>
      </c>
      <c r="P17" s="141">
        <v>-6.6365168731375518E-2</v>
      </c>
    </row>
    <row r="18" spans="2:41">
      <c r="F18" s="147"/>
      <c r="G18" s="148" t="s">
        <v>420</v>
      </c>
      <c r="H18" s="141">
        <v>1.5673366516862287E-2</v>
      </c>
      <c r="I18" s="141">
        <v>3.7243699628733938E-2</v>
      </c>
      <c r="J18" s="141">
        <v>-0.11104754307685334</v>
      </c>
      <c r="K18" s="141">
        <v>-6.2900458571029161E-2</v>
      </c>
      <c r="L18" s="141">
        <v>-0.20851793097973775</v>
      </c>
      <c r="M18" s="141">
        <v>-0.20589292786783769</v>
      </c>
      <c r="N18" s="149" t="s">
        <v>444</v>
      </c>
      <c r="O18" s="141">
        <v>-0.26565844065560223</v>
      </c>
      <c r="P18" s="141">
        <v>-7.2297527081693014E-2</v>
      </c>
    </row>
    <row r="19" spans="2:41">
      <c r="F19" s="147"/>
      <c r="G19" s="148" t="s">
        <v>421</v>
      </c>
      <c r="H19" s="141">
        <v>-0.28102305572415592</v>
      </c>
      <c r="I19" s="141">
        <v>-0.13844562131891205</v>
      </c>
      <c r="J19" s="141">
        <v>1.4388427749702927E-2</v>
      </c>
      <c r="K19" s="141">
        <v>-0.13728756432388539</v>
      </c>
      <c r="L19" s="141">
        <v>-1.3558496022240378E-2</v>
      </c>
      <c r="M19" s="141">
        <v>-0.20548183667324854</v>
      </c>
      <c r="N19" s="141">
        <v>-0.26565844065560223</v>
      </c>
      <c r="O19" s="149" t="s">
        <v>445</v>
      </c>
      <c r="P19" s="141">
        <v>-0.19505854549413462</v>
      </c>
    </row>
    <row r="20" spans="2:41">
      <c r="F20" s="147"/>
      <c r="G20" s="148" t="s">
        <v>434</v>
      </c>
      <c r="H20" s="141">
        <v>-2.8443661520408353E-3</v>
      </c>
      <c r="I20" s="141">
        <v>-9.4929976644533315E-2</v>
      </c>
      <c r="J20" s="141">
        <v>-0.10616749807482746</v>
      </c>
      <c r="K20" s="141">
        <v>-2.5128702379301465E-2</v>
      </c>
      <c r="L20" s="141">
        <v>-0.1401550250746427</v>
      </c>
      <c r="M20" s="141">
        <v>-6.6365168731375518E-2</v>
      </c>
      <c r="N20" s="141">
        <v>-7.2297527081693014E-2</v>
      </c>
      <c r="O20" s="141">
        <v>-0.19505854549413462</v>
      </c>
      <c r="P20" s="149" t="s">
        <v>439</v>
      </c>
    </row>
    <row r="21" spans="2:41">
      <c r="F21" s="147" t="s">
        <v>437</v>
      </c>
      <c r="G21" s="147"/>
      <c r="H21" s="147"/>
      <c r="I21" s="147"/>
      <c r="J21" s="147"/>
      <c r="K21" s="147"/>
      <c r="L21" s="147"/>
      <c r="M21" s="147"/>
      <c r="N21" s="147"/>
      <c r="O21" s="147"/>
      <c r="P21" s="147"/>
    </row>
    <row r="27" spans="2:41">
      <c r="B27" s="248" t="s">
        <v>423</v>
      </c>
      <c r="C27" s="248"/>
      <c r="D27" s="248"/>
      <c r="F27" s="248" t="s">
        <v>429</v>
      </c>
      <c r="G27" s="248"/>
      <c r="H27" s="248"/>
      <c r="I27" s="248"/>
      <c r="J27" s="248"/>
      <c r="K27" s="248"/>
      <c r="L27" s="38"/>
    </row>
    <row r="28" spans="2:41">
      <c r="B28" s="246" t="s">
        <v>424</v>
      </c>
      <c r="C28" s="246"/>
      <c r="D28" s="141">
        <v>0.81367839983930224</v>
      </c>
      <c r="F28" s="249" t="s">
        <v>354</v>
      </c>
      <c r="G28" s="249"/>
      <c r="H28" s="146" t="s">
        <v>418</v>
      </c>
      <c r="I28" s="146" t="s">
        <v>419</v>
      </c>
      <c r="J28" s="146" t="s">
        <v>420</v>
      </c>
      <c r="K28" s="146" t="s">
        <v>421</v>
      </c>
      <c r="L28" s="38"/>
      <c r="R28" s="248" t="s">
        <v>415</v>
      </c>
      <c r="S28" s="248"/>
      <c r="T28" s="248"/>
      <c r="V28" s="248" t="s">
        <v>446</v>
      </c>
      <c r="W28" s="248"/>
      <c r="X28" s="248"/>
      <c r="Y28" s="248"/>
      <c r="Z28" s="248"/>
      <c r="AA28" s="248"/>
      <c r="AB28" s="248"/>
    </row>
    <row r="29" spans="2:41">
      <c r="B29" s="246" t="s">
        <v>425</v>
      </c>
      <c r="C29" s="148" t="s">
        <v>426</v>
      </c>
      <c r="D29" s="143">
        <v>2374.0637118766826</v>
      </c>
      <c r="F29" s="246" t="s">
        <v>435</v>
      </c>
      <c r="G29" s="148" t="s">
        <v>418</v>
      </c>
      <c r="H29" s="141">
        <v>0.54171642540389919</v>
      </c>
      <c r="I29" s="141">
        <v>-0.16495547653015941</v>
      </c>
      <c r="J29" s="141">
        <v>-7.9517376201053716E-2</v>
      </c>
      <c r="K29" s="141">
        <v>-0.15850723268870592</v>
      </c>
      <c r="L29" s="38"/>
      <c r="R29" s="249" t="s">
        <v>354</v>
      </c>
      <c r="S29" s="146" t="s">
        <v>416</v>
      </c>
      <c r="T29" s="146" t="s">
        <v>417</v>
      </c>
      <c r="V29" s="249" t="s">
        <v>447</v>
      </c>
      <c r="W29" s="250" t="s">
        <v>448</v>
      </c>
      <c r="X29" s="250"/>
      <c r="Y29" s="250"/>
      <c r="Z29" s="250" t="s">
        <v>449</v>
      </c>
      <c r="AA29" s="250"/>
      <c r="AB29" s="250"/>
      <c r="AM29" s="248" t="s">
        <v>463</v>
      </c>
      <c r="AN29" s="248"/>
      <c r="AO29" s="38"/>
    </row>
    <row r="30" spans="2:41">
      <c r="B30" s="246"/>
      <c r="C30" s="148" t="s">
        <v>427</v>
      </c>
      <c r="D30" s="144">
        <v>6</v>
      </c>
      <c r="F30" s="246"/>
      <c r="G30" s="148" t="s">
        <v>419</v>
      </c>
      <c r="H30" s="141">
        <v>-0.16495547653015941</v>
      </c>
      <c r="I30" s="141">
        <v>0.53196686669512649</v>
      </c>
      <c r="J30" s="141">
        <v>-0.11434459084210906</v>
      </c>
      <c r="K30" s="141">
        <v>-0.14130830835761315</v>
      </c>
      <c r="L30" s="38"/>
      <c r="R30" s="148" t="s">
        <v>418</v>
      </c>
      <c r="S30" s="143">
        <v>1</v>
      </c>
      <c r="T30" s="141">
        <v>0.67061638927302136</v>
      </c>
      <c r="V30" s="249"/>
      <c r="W30" s="146" t="s">
        <v>117</v>
      </c>
      <c r="X30" s="146" t="s">
        <v>450</v>
      </c>
      <c r="Y30" s="146" t="s">
        <v>451</v>
      </c>
      <c r="Z30" s="146" t="s">
        <v>117</v>
      </c>
      <c r="AA30" s="146" t="s">
        <v>450</v>
      </c>
      <c r="AB30" s="146" t="s">
        <v>451</v>
      </c>
      <c r="AM30" s="249" t="s">
        <v>354</v>
      </c>
      <c r="AN30" s="146" t="s">
        <v>447</v>
      </c>
      <c r="AO30" s="38"/>
    </row>
    <row r="31" spans="2:41">
      <c r="B31" s="246"/>
      <c r="C31" s="148" t="s">
        <v>428</v>
      </c>
      <c r="D31" s="143">
        <v>0</v>
      </c>
      <c r="F31" s="246"/>
      <c r="G31" s="148" t="s">
        <v>420</v>
      </c>
      <c r="H31" s="141">
        <v>-7.9517376201053716E-2</v>
      </c>
      <c r="I31" s="141">
        <v>-0.11434459084210906</v>
      </c>
      <c r="J31" s="141">
        <v>0.57612545476293797</v>
      </c>
      <c r="K31" s="141">
        <v>-0.18144400155554383</v>
      </c>
      <c r="L31" s="38"/>
      <c r="R31" s="148" t="s">
        <v>419</v>
      </c>
      <c r="S31" s="143">
        <v>1</v>
      </c>
      <c r="T31" s="141">
        <v>0.68437317170918777</v>
      </c>
      <c r="V31" s="148" t="s">
        <v>452</v>
      </c>
      <c r="W31" s="143">
        <v>2.7289895836237332</v>
      </c>
      <c r="X31" s="143">
        <v>68.22473959059333</v>
      </c>
      <c r="Y31" s="143">
        <v>68.22473959059333</v>
      </c>
      <c r="Z31" s="143">
        <v>2.7289895836237315</v>
      </c>
      <c r="AA31" s="143">
        <v>68.224739590593288</v>
      </c>
      <c r="AB31" s="143">
        <v>68.224739590593288</v>
      </c>
      <c r="AM31" s="249"/>
      <c r="AN31" s="146" t="s">
        <v>452</v>
      </c>
      <c r="AO31" s="38"/>
    </row>
    <row r="32" spans="2:41">
      <c r="F32" s="246"/>
      <c r="G32" s="148" t="s">
        <v>421</v>
      </c>
      <c r="H32" s="141">
        <v>-0.15850723268870592</v>
      </c>
      <c r="I32" s="141">
        <v>-0.14130830835761315</v>
      </c>
      <c r="J32" s="141">
        <v>-0.18144400155554383</v>
      </c>
      <c r="K32" s="141">
        <v>0.46976451778331629</v>
      </c>
      <c r="L32" s="38"/>
      <c r="R32" s="148" t="s">
        <v>420</v>
      </c>
      <c r="S32" s="143">
        <v>1</v>
      </c>
      <c r="T32" s="141">
        <v>0.63697548299547668</v>
      </c>
      <c r="V32" s="148" t="s">
        <v>453</v>
      </c>
      <c r="W32" s="141">
        <v>0.50371880645294964</v>
      </c>
      <c r="X32" s="143">
        <v>12.592970161323741</v>
      </c>
      <c r="Y32" s="143">
        <v>80.817709751917064</v>
      </c>
      <c r="Z32" s="152"/>
      <c r="AA32" s="152"/>
      <c r="AB32" s="152"/>
      <c r="AM32" s="148" t="s">
        <v>418</v>
      </c>
      <c r="AN32" s="141">
        <v>0.81891171030399934</v>
      </c>
      <c r="AO32" s="38"/>
    </row>
    <row r="33" spans="6:41">
      <c r="F33" s="246" t="s">
        <v>436</v>
      </c>
      <c r="G33" s="148" t="s">
        <v>418</v>
      </c>
      <c r="H33" s="149" t="s">
        <v>464</v>
      </c>
      <c r="I33" s="141">
        <v>-0.30728293692358671</v>
      </c>
      <c r="J33" s="141">
        <v>-0.14233690146002556</v>
      </c>
      <c r="K33" s="141">
        <v>-0.31421215156932725</v>
      </c>
      <c r="L33" s="38"/>
      <c r="R33" s="148" t="s">
        <v>421</v>
      </c>
      <c r="S33" s="143">
        <v>1</v>
      </c>
      <c r="T33" s="141">
        <v>0.73702453964604564</v>
      </c>
      <c r="V33" s="148" t="s">
        <v>454</v>
      </c>
      <c r="W33" s="141">
        <v>0.4103847672889247</v>
      </c>
      <c r="X33" s="143">
        <v>10.259619182223117</v>
      </c>
      <c r="Y33" s="143">
        <v>91.077328934140183</v>
      </c>
      <c r="Z33" s="152"/>
      <c r="AA33" s="152"/>
      <c r="AB33" s="152"/>
      <c r="AM33" s="148" t="s">
        <v>419</v>
      </c>
      <c r="AN33" s="141">
        <v>0.82726850037287636</v>
      </c>
      <c r="AO33" s="38"/>
    </row>
    <row r="34" spans="6:41">
      <c r="F34" s="246"/>
      <c r="G34" s="148" t="s">
        <v>419</v>
      </c>
      <c r="H34" s="141">
        <v>-0.30728293692358671</v>
      </c>
      <c r="I34" s="149" t="s">
        <v>465</v>
      </c>
      <c r="J34" s="141">
        <v>-0.20654505471414611</v>
      </c>
      <c r="K34" s="141">
        <v>-0.28267363286965258</v>
      </c>
      <c r="L34" s="38"/>
      <c r="R34" s="246" t="s">
        <v>422</v>
      </c>
      <c r="S34" s="246"/>
      <c r="T34" s="246"/>
      <c r="V34" s="148" t="s">
        <v>455</v>
      </c>
      <c r="W34" s="141">
        <v>0.35690684263439182</v>
      </c>
      <c r="X34" s="143">
        <v>8.9226710658597952</v>
      </c>
      <c r="Y34" s="143">
        <v>100</v>
      </c>
      <c r="Z34" s="152"/>
      <c r="AA34" s="152"/>
      <c r="AB34" s="152"/>
      <c r="AM34" s="148" t="s">
        <v>420</v>
      </c>
      <c r="AN34" s="141">
        <v>0.7981074382534451</v>
      </c>
      <c r="AO34" s="38"/>
    </row>
    <row r="35" spans="6:41">
      <c r="F35" s="246"/>
      <c r="G35" s="148" t="s">
        <v>420</v>
      </c>
      <c r="H35" s="141">
        <v>-0.14233690146002556</v>
      </c>
      <c r="I35" s="141">
        <v>-0.20654505471414611</v>
      </c>
      <c r="J35" s="149" t="s">
        <v>466</v>
      </c>
      <c r="K35" s="141">
        <v>-0.34877390023777211</v>
      </c>
      <c r="L35" s="38"/>
      <c r="V35" s="246" t="s">
        <v>422</v>
      </c>
      <c r="W35" s="246"/>
      <c r="X35" s="246"/>
      <c r="Y35" s="246"/>
      <c r="Z35" s="246"/>
      <c r="AA35" s="246"/>
      <c r="AB35" s="246"/>
      <c r="AM35" s="148" t="s">
        <v>421</v>
      </c>
      <c r="AN35" s="141">
        <v>0.85850133351442481</v>
      </c>
      <c r="AO35" s="38"/>
    </row>
    <row r="36" spans="6:41">
      <c r="F36" s="246"/>
      <c r="G36" s="148" t="s">
        <v>421</v>
      </c>
      <c r="H36" s="141">
        <v>-0.31421215156932725</v>
      </c>
      <c r="I36" s="141">
        <v>-0.28267363286965258</v>
      </c>
      <c r="J36" s="141">
        <v>-0.34877390023777211</v>
      </c>
      <c r="K36" s="149" t="s">
        <v>467</v>
      </c>
      <c r="L36" s="38"/>
      <c r="AM36" s="246" t="s">
        <v>461</v>
      </c>
      <c r="AN36" s="246"/>
      <c r="AO36" s="38"/>
    </row>
    <row r="37" spans="6:41">
      <c r="F37" s="246" t="s">
        <v>437</v>
      </c>
      <c r="G37" s="246"/>
      <c r="H37" s="246"/>
      <c r="I37" s="246"/>
      <c r="J37" s="246"/>
      <c r="K37" s="246"/>
      <c r="L37" s="38"/>
      <c r="AM37" s="246" t="s">
        <v>462</v>
      </c>
      <c r="AN37" s="246"/>
      <c r="AO37" s="38"/>
    </row>
  </sheetData>
  <mergeCells count="35">
    <mergeCell ref="B1:D1"/>
    <mergeCell ref="B2:C2"/>
    <mergeCell ref="B3:B5"/>
    <mergeCell ref="AM1:AN1"/>
    <mergeCell ref="AM2:AM3"/>
    <mergeCell ref="AM13:AN13"/>
    <mergeCell ref="F1:P1"/>
    <mergeCell ref="R1:T1"/>
    <mergeCell ref="V1:AB1"/>
    <mergeCell ref="V2:V3"/>
    <mergeCell ref="W2:Y2"/>
    <mergeCell ref="Z2:AB2"/>
    <mergeCell ref="V13:AB13"/>
    <mergeCell ref="B29:B31"/>
    <mergeCell ref="F27:K27"/>
    <mergeCell ref="F28:G28"/>
    <mergeCell ref="F29:F32"/>
    <mergeCell ref="AM29:AN29"/>
    <mergeCell ref="AM30:AM31"/>
    <mergeCell ref="AM36:AN36"/>
    <mergeCell ref="AM37:AN37"/>
    <mergeCell ref="A8:D11"/>
    <mergeCell ref="F33:F36"/>
    <mergeCell ref="F37:K37"/>
    <mergeCell ref="R28:T28"/>
    <mergeCell ref="R29"/>
    <mergeCell ref="R34:T34"/>
    <mergeCell ref="V28:AB28"/>
    <mergeCell ref="V29:V30"/>
    <mergeCell ref="W29:Y29"/>
    <mergeCell ref="Z29:AB29"/>
    <mergeCell ref="V35:AB35"/>
    <mergeCell ref="AM14:AN14"/>
    <mergeCell ref="B27:D27"/>
    <mergeCell ref="B28:C28"/>
  </mergeCells>
  <pageMargins left="0.7" right="0.7" top="0.75" bottom="0.75" header="0.3" footer="0.3"/>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35"/>
  <sheetViews>
    <sheetView topLeftCell="A11" workbookViewId="0">
      <selection activeCell="A31" sqref="A31"/>
    </sheetView>
  </sheetViews>
  <sheetFormatPr baseColWidth="10" defaultRowHeight="14" x14ac:dyDescent="0"/>
  <cols>
    <col min="2" max="2" width="6.33203125" bestFit="1" customWidth="1"/>
    <col min="3" max="3" width="9.1640625" bestFit="1" customWidth="1"/>
    <col min="4" max="4" width="7.5" bestFit="1" customWidth="1"/>
    <col min="5" max="5" width="5.5" bestFit="1" customWidth="1"/>
    <col min="7" max="7" width="14.5" bestFit="1" customWidth="1"/>
    <col min="8" max="8" width="44.33203125" bestFit="1" customWidth="1"/>
    <col min="9" max="9" width="13.5" bestFit="1" customWidth="1"/>
    <col min="11" max="11" width="25.33203125" style="24" bestFit="1" customWidth="1"/>
    <col min="12" max="12" width="5.6640625" style="6" bestFit="1" customWidth="1"/>
    <col min="13" max="13" width="6.6640625" style="6" bestFit="1" customWidth="1"/>
    <col min="14" max="14" width="7" style="6" bestFit="1" customWidth="1"/>
    <col min="15" max="15" width="6.33203125" style="6" bestFit="1" customWidth="1"/>
    <col min="16" max="16" width="13.5" style="6" bestFit="1" customWidth="1"/>
    <col min="17" max="17" width="7.6640625" style="6" bestFit="1" customWidth="1"/>
    <col min="18" max="18" width="13.5" style="6" bestFit="1" customWidth="1"/>
    <col min="20" max="20" width="63.5" style="24" bestFit="1" customWidth="1"/>
    <col min="21" max="21" width="19" style="13" customWidth="1"/>
    <col min="22" max="22" width="20.83203125" style="13" customWidth="1"/>
    <col min="23" max="23" width="18.5" style="13" customWidth="1"/>
    <col min="24" max="24" width="16.83203125" style="13" customWidth="1"/>
    <col min="25" max="25" width="19.6640625" style="13" customWidth="1"/>
  </cols>
  <sheetData>
    <row r="1" spans="2:26" ht="15.75" customHeight="1">
      <c r="B1" s="266" t="s">
        <v>468</v>
      </c>
      <c r="C1" s="266"/>
      <c r="D1" s="266"/>
      <c r="E1" s="266"/>
      <c r="F1" s="39"/>
      <c r="G1" s="262" t="s">
        <v>475</v>
      </c>
      <c r="H1" s="262"/>
      <c r="I1" s="262"/>
      <c r="K1" s="262" t="s">
        <v>479</v>
      </c>
      <c r="L1" s="262"/>
      <c r="M1" s="262"/>
      <c r="N1" s="262"/>
      <c r="O1" s="262"/>
      <c r="P1" s="262"/>
      <c r="Q1" s="262"/>
      <c r="R1" s="262"/>
      <c r="S1" s="40"/>
      <c r="T1" s="262" t="s">
        <v>490</v>
      </c>
      <c r="U1" s="262"/>
      <c r="V1" s="262"/>
      <c r="W1" s="262"/>
      <c r="X1" s="262"/>
      <c r="Y1" s="262"/>
      <c r="Z1" s="40"/>
    </row>
    <row r="2" spans="2:26">
      <c r="B2" s="266"/>
      <c r="C2" s="266"/>
      <c r="D2" s="266"/>
      <c r="E2" s="266"/>
      <c r="F2" s="39"/>
      <c r="G2" s="157" t="s">
        <v>476</v>
      </c>
      <c r="H2" s="157" t="s">
        <v>477</v>
      </c>
      <c r="I2" s="157" t="s">
        <v>478</v>
      </c>
      <c r="K2" s="263" t="s">
        <v>354</v>
      </c>
      <c r="L2" s="157" t="s">
        <v>480</v>
      </c>
      <c r="M2" s="157" t="s">
        <v>481</v>
      </c>
      <c r="N2" s="157" t="s">
        <v>482</v>
      </c>
      <c r="O2" s="157" t="s">
        <v>483</v>
      </c>
      <c r="P2" s="157" t="s">
        <v>484</v>
      </c>
      <c r="Q2" s="157" t="s">
        <v>485</v>
      </c>
      <c r="R2" s="157" t="s">
        <v>478</v>
      </c>
      <c r="S2" s="40"/>
      <c r="T2" s="260" t="s">
        <v>354</v>
      </c>
      <c r="U2" s="258" t="s">
        <v>491</v>
      </c>
      <c r="V2" s="258" t="s">
        <v>492</v>
      </c>
      <c r="W2" s="258" t="s">
        <v>493</v>
      </c>
      <c r="X2" s="258" t="s">
        <v>494</v>
      </c>
      <c r="Y2" s="258" t="s">
        <v>495</v>
      </c>
      <c r="Z2" s="40"/>
    </row>
    <row r="3" spans="2:26">
      <c r="B3" s="264" t="s">
        <v>354</v>
      </c>
      <c r="C3" s="264"/>
      <c r="D3" s="153" t="s">
        <v>374</v>
      </c>
      <c r="E3" s="153" t="s">
        <v>469</v>
      </c>
      <c r="F3" s="39"/>
      <c r="G3" s="159">
        <v>0.88478334366464118</v>
      </c>
      <c r="H3" s="159">
        <v>0.88466131863787367</v>
      </c>
      <c r="I3" s="160">
        <v>9</v>
      </c>
      <c r="K3" s="158" t="s">
        <v>486</v>
      </c>
      <c r="L3" s="166">
        <v>4.2197479298178768</v>
      </c>
      <c r="M3" s="166">
        <v>3.3917742406882248</v>
      </c>
      <c r="N3" s="166">
        <v>4.9295266086450962</v>
      </c>
      <c r="O3" s="166">
        <v>1.5377523679568714</v>
      </c>
      <c r="P3" s="166">
        <v>1.4533769817312034</v>
      </c>
      <c r="Q3" s="167">
        <v>0.30617446933883552</v>
      </c>
      <c r="R3" s="168">
        <v>9</v>
      </c>
      <c r="S3" s="40"/>
      <c r="T3" s="260"/>
      <c r="U3" s="258"/>
      <c r="V3" s="258"/>
      <c r="W3" s="258"/>
      <c r="X3" s="258"/>
      <c r="Y3" s="258"/>
      <c r="Z3" s="40"/>
    </row>
    <row r="4" spans="2:26">
      <c r="B4" s="265" t="s">
        <v>470</v>
      </c>
      <c r="C4" s="154" t="s">
        <v>471</v>
      </c>
      <c r="D4" s="155">
        <v>1452.7390163084899</v>
      </c>
      <c r="E4" s="156">
        <v>92.472248014544903</v>
      </c>
      <c r="F4" s="39"/>
      <c r="K4" s="158" t="s">
        <v>487</v>
      </c>
      <c r="L4" s="166">
        <v>2.6163745806021264</v>
      </c>
      <c r="M4" s="166">
        <v>2.3282325529678594</v>
      </c>
      <c r="N4" s="166">
        <v>3.3861256809677571</v>
      </c>
      <c r="O4" s="166">
        <v>1.0578931279998978</v>
      </c>
      <c r="P4" s="166">
        <v>1.4543760573450335</v>
      </c>
      <c r="Q4" s="167">
        <v>0.10648928472437361</v>
      </c>
      <c r="R4" s="168">
        <v>9</v>
      </c>
      <c r="S4" s="40"/>
      <c r="T4" s="164" t="s">
        <v>430</v>
      </c>
      <c r="U4" s="161">
        <v>34.134381149209794</v>
      </c>
      <c r="V4" s="162">
        <v>87.63374566554846</v>
      </c>
      <c r="W4" s="163">
        <v>0.66825252854221495</v>
      </c>
      <c r="X4" s="163">
        <v>0.50577467782516949</v>
      </c>
      <c r="Y4" s="163">
        <v>0.86933221382244308</v>
      </c>
      <c r="Z4" s="40"/>
    </row>
    <row r="5" spans="2:26">
      <c r="B5" s="265"/>
      <c r="C5" s="154" t="s">
        <v>474</v>
      </c>
      <c r="D5" s="155">
        <v>118.26098369149872</v>
      </c>
      <c r="E5" s="156">
        <v>7.5277519854550974</v>
      </c>
      <c r="F5" s="39"/>
      <c r="K5" s="158" t="s">
        <v>488</v>
      </c>
      <c r="L5" s="166">
        <v>1.2046024852209509</v>
      </c>
      <c r="M5" s="167">
        <v>0.78972676773646844</v>
      </c>
      <c r="N5" s="166">
        <v>1.8353581794286715</v>
      </c>
      <c r="O5" s="166">
        <v>1.0456314116922032</v>
      </c>
      <c r="P5" s="166">
        <v>2.3240420033997506</v>
      </c>
      <c r="Q5" s="167">
        <v>7.4500329475285482E-2</v>
      </c>
      <c r="R5" s="168">
        <v>9</v>
      </c>
      <c r="S5" s="40"/>
      <c r="T5" s="164" t="s">
        <v>431</v>
      </c>
      <c r="U5" s="161">
        <v>33.138603189660145</v>
      </c>
      <c r="V5" s="162">
        <v>91.832384092051257</v>
      </c>
      <c r="W5" s="163">
        <v>0.54861800230038527</v>
      </c>
      <c r="X5" s="163">
        <v>0.32078214807355115</v>
      </c>
      <c r="Y5" s="163">
        <v>0.87899221678040518</v>
      </c>
      <c r="Z5" s="40"/>
    </row>
    <row r="6" spans="2:26" ht="15.75" customHeight="1">
      <c r="B6" s="265"/>
      <c r="C6" s="154" t="s">
        <v>117</v>
      </c>
      <c r="D6" s="155">
        <v>1570.9999999999886</v>
      </c>
      <c r="E6" s="156">
        <v>100</v>
      </c>
      <c r="F6" s="39"/>
      <c r="K6" s="158" t="s">
        <v>489</v>
      </c>
      <c r="L6" s="167">
        <v>0.46011180640171534</v>
      </c>
      <c r="M6" s="167">
        <v>0.29801573473284421</v>
      </c>
      <c r="N6" s="167">
        <v>0.63356519032223657</v>
      </c>
      <c r="O6" s="167">
        <v>0.33554945558939236</v>
      </c>
      <c r="P6" s="166">
        <v>2.1259454333516827</v>
      </c>
      <c r="Q6" s="167">
        <v>7.60146056224214E-3</v>
      </c>
      <c r="R6" s="168">
        <v>9</v>
      </c>
      <c r="S6" s="40"/>
      <c r="T6" s="164" t="s">
        <v>432</v>
      </c>
      <c r="U6" s="161">
        <v>33.17431559649561</v>
      </c>
      <c r="V6" s="162">
        <v>91.06921979191317</v>
      </c>
      <c r="W6" s="163">
        <v>0.55361736987741583</v>
      </c>
      <c r="X6" s="163">
        <v>0.38738414029229873</v>
      </c>
      <c r="Y6" s="163">
        <v>0.87873450616706539</v>
      </c>
      <c r="Z6" s="40"/>
    </row>
    <row r="7" spans="2:26">
      <c r="B7" s="259" t="s">
        <v>472</v>
      </c>
      <c r="C7" s="259"/>
      <c r="D7" s="259"/>
      <c r="E7" s="259"/>
      <c r="F7" s="39"/>
      <c r="T7" s="164" t="s">
        <v>418</v>
      </c>
      <c r="U7" s="161">
        <v>33.97902245094442</v>
      </c>
      <c r="V7" s="162">
        <v>87.154261707643656</v>
      </c>
      <c r="W7" s="163">
        <v>0.70415177978659504</v>
      </c>
      <c r="X7" s="163">
        <v>0.53607345428576036</v>
      </c>
      <c r="Y7" s="163">
        <v>0.86644775972325572</v>
      </c>
      <c r="Z7" s="40"/>
    </row>
    <row r="8" spans="2:26" ht="15" customHeight="1">
      <c r="B8" s="259"/>
      <c r="C8" s="259"/>
      <c r="D8" s="259"/>
      <c r="E8" s="259"/>
      <c r="T8" s="164" t="s">
        <v>433</v>
      </c>
      <c r="U8" s="161">
        <v>33.048204759715794</v>
      </c>
      <c r="V8" s="162">
        <v>89.923883904572264</v>
      </c>
      <c r="W8" s="163">
        <v>0.60179777930313461</v>
      </c>
      <c r="X8" s="163">
        <v>0.43048558532151415</v>
      </c>
      <c r="Y8" s="163">
        <v>0.87483659223579791</v>
      </c>
      <c r="Z8" s="40"/>
    </row>
    <row r="9" spans="2:26">
      <c r="B9" s="259" t="s">
        <v>473</v>
      </c>
      <c r="C9" s="259"/>
      <c r="D9" s="259"/>
      <c r="E9" s="259"/>
      <c r="T9" s="164" t="s">
        <v>419</v>
      </c>
      <c r="U9" s="161">
        <v>34.585957127672671</v>
      </c>
      <c r="V9" s="162">
        <v>87.61748943001902</v>
      </c>
      <c r="W9" s="163">
        <v>0.63283005988607943</v>
      </c>
      <c r="X9" s="163">
        <v>0.48318486260801125</v>
      </c>
      <c r="Y9" s="163">
        <v>0.87234152866566461</v>
      </c>
      <c r="Z9" s="40"/>
    </row>
    <row r="10" spans="2:26">
      <c r="B10" s="259"/>
      <c r="C10" s="259"/>
      <c r="D10" s="259"/>
      <c r="E10" s="259"/>
      <c r="T10" s="164" t="s">
        <v>420</v>
      </c>
      <c r="U10" s="161">
        <v>34.130001636372889</v>
      </c>
      <c r="V10" s="162">
        <v>84.41555763412174</v>
      </c>
      <c r="W10" s="163">
        <v>0.66473241601936084</v>
      </c>
      <c r="X10" s="163">
        <v>0.48273647038398249</v>
      </c>
      <c r="Y10" s="163">
        <v>0.86990480888998079</v>
      </c>
      <c r="Z10" s="40"/>
    </row>
    <row r="11" spans="2:26">
      <c r="B11" s="259"/>
      <c r="C11" s="259"/>
      <c r="D11" s="259"/>
      <c r="E11" s="259"/>
      <c r="T11" s="164" t="s">
        <v>421</v>
      </c>
      <c r="U11" s="161">
        <v>34.132052650220203</v>
      </c>
      <c r="V11" s="162">
        <v>84.848030676002494</v>
      </c>
      <c r="W11" s="163">
        <v>0.75459341852474149</v>
      </c>
      <c r="X11" s="163">
        <v>0.61136456723362309</v>
      </c>
      <c r="Y11" s="163">
        <v>0.86176660935621685</v>
      </c>
      <c r="Z11" s="40"/>
    </row>
    <row r="12" spans="2:26">
      <c r="T12" s="164" t="s">
        <v>434</v>
      </c>
      <c r="U12" s="161">
        <v>33.499312386595619</v>
      </c>
      <c r="V12" s="162">
        <v>91.004049452840349</v>
      </c>
      <c r="W12" s="163">
        <v>0.58211081317007252</v>
      </c>
      <c r="X12" s="163">
        <v>0.35434686387848063</v>
      </c>
      <c r="Y12" s="163">
        <v>0.87638060315487254</v>
      </c>
    </row>
    <row r="13" spans="2:26">
      <c r="T13" s="165"/>
      <c r="U13" s="11"/>
      <c r="V13" s="11"/>
      <c r="W13" s="11"/>
      <c r="X13" s="11"/>
      <c r="Y13" s="11"/>
    </row>
    <row r="14" spans="2:26">
      <c r="T14" s="165"/>
      <c r="U14" s="11"/>
      <c r="V14" s="11"/>
      <c r="W14" s="11"/>
      <c r="X14" s="11"/>
      <c r="Y14" s="11"/>
    </row>
    <row r="15" spans="2:26">
      <c r="T15" s="165"/>
      <c r="U15" s="11"/>
      <c r="V15" s="11"/>
      <c r="W15" s="11"/>
      <c r="X15" s="11"/>
      <c r="Y15" s="11"/>
    </row>
    <row r="16" spans="2:26">
      <c r="T16" s="165"/>
      <c r="U16" s="11"/>
      <c r="V16" s="11"/>
      <c r="W16" s="11"/>
      <c r="X16" s="11"/>
      <c r="Y16" s="11"/>
    </row>
    <row r="17" spans="2:26">
      <c r="B17" s="266" t="s">
        <v>468</v>
      </c>
      <c r="C17" s="266"/>
      <c r="D17" s="266"/>
      <c r="E17" s="266"/>
      <c r="F17" s="40"/>
      <c r="G17" s="262" t="s">
        <v>475</v>
      </c>
      <c r="H17" s="262"/>
      <c r="I17" s="262"/>
      <c r="K17" s="262" t="s">
        <v>479</v>
      </c>
      <c r="L17" s="262"/>
      <c r="M17" s="262"/>
      <c r="N17" s="262"/>
      <c r="O17" s="262"/>
      <c r="P17" s="262"/>
      <c r="Q17" s="262"/>
      <c r="R17" s="262"/>
      <c r="S17" s="40"/>
      <c r="T17" s="262" t="s">
        <v>490</v>
      </c>
      <c r="U17" s="262"/>
      <c r="V17" s="262"/>
      <c r="W17" s="262"/>
      <c r="X17" s="262"/>
      <c r="Y17" s="262"/>
      <c r="Z17" s="40"/>
    </row>
    <row r="18" spans="2:26">
      <c r="B18" s="266"/>
      <c r="C18" s="266"/>
      <c r="D18" s="266"/>
      <c r="E18" s="266"/>
      <c r="F18" s="40"/>
      <c r="G18" s="157" t="s">
        <v>476</v>
      </c>
      <c r="H18" s="157" t="s">
        <v>477</v>
      </c>
      <c r="I18" s="157" t="s">
        <v>478</v>
      </c>
      <c r="K18" s="263" t="s">
        <v>354</v>
      </c>
      <c r="L18" s="157" t="s">
        <v>480</v>
      </c>
      <c r="M18" s="157" t="s">
        <v>481</v>
      </c>
      <c r="N18" s="157" t="s">
        <v>482</v>
      </c>
      <c r="O18" s="157" t="s">
        <v>483</v>
      </c>
      <c r="P18" s="157" t="s">
        <v>484</v>
      </c>
      <c r="Q18" s="157" t="s">
        <v>485</v>
      </c>
      <c r="R18" s="157" t="s">
        <v>478</v>
      </c>
      <c r="S18" s="40"/>
      <c r="T18" s="260" t="s">
        <v>354</v>
      </c>
      <c r="U18" s="258" t="s">
        <v>491</v>
      </c>
      <c r="V18" s="258" t="s">
        <v>492</v>
      </c>
      <c r="W18" s="258" t="s">
        <v>493</v>
      </c>
      <c r="X18" s="258" t="s">
        <v>494</v>
      </c>
      <c r="Y18" s="258" t="s">
        <v>495</v>
      </c>
      <c r="Z18" s="40"/>
    </row>
    <row r="19" spans="2:26">
      <c r="B19" s="263" t="s">
        <v>354</v>
      </c>
      <c r="C19" s="263"/>
      <c r="D19" s="157" t="s">
        <v>374</v>
      </c>
      <c r="E19" s="157" t="s">
        <v>469</v>
      </c>
      <c r="F19" s="40"/>
      <c r="G19" s="159">
        <v>0.84231123333782121</v>
      </c>
      <c r="H19" s="159">
        <v>0.84446069674517155</v>
      </c>
      <c r="I19" s="160">
        <v>4</v>
      </c>
      <c r="K19" s="158" t="s">
        <v>486</v>
      </c>
      <c r="L19" s="166">
        <v>3.7614499846437517</v>
      </c>
      <c r="M19" s="166">
        <v>3.3832994915459822</v>
      </c>
      <c r="N19" s="166">
        <v>3.9844079042065976</v>
      </c>
      <c r="O19" s="167">
        <v>0.60110841266061543</v>
      </c>
      <c r="P19" s="166">
        <v>1.1776692882680457</v>
      </c>
      <c r="Q19" s="167">
        <v>6.826431517769703E-2</v>
      </c>
      <c r="R19" s="168">
        <v>4</v>
      </c>
      <c r="S19" s="40"/>
      <c r="T19" s="260"/>
      <c r="U19" s="258"/>
      <c r="V19" s="258"/>
      <c r="W19" s="258"/>
      <c r="X19" s="258"/>
      <c r="Y19" s="258"/>
      <c r="Z19" s="40"/>
    </row>
    <row r="20" spans="2:26">
      <c r="B20" s="261" t="s">
        <v>470</v>
      </c>
      <c r="C20" s="158" t="s">
        <v>471</v>
      </c>
      <c r="D20" s="155">
        <v>1484.414069541154</v>
      </c>
      <c r="E20" s="156">
        <v>94.488483102556643</v>
      </c>
      <c r="F20" s="40"/>
      <c r="K20" s="158" t="s">
        <v>487</v>
      </c>
      <c r="L20" s="166">
        <v>2.8488076891551444</v>
      </c>
      <c r="M20" s="166">
        <v>2.4802982608271025</v>
      </c>
      <c r="N20" s="166">
        <v>3.3962762545965175</v>
      </c>
      <c r="O20" s="167">
        <v>0.91597799376941502</v>
      </c>
      <c r="P20" s="166">
        <v>1.3693015506384965</v>
      </c>
      <c r="Q20" s="167">
        <v>0.15417682001754332</v>
      </c>
      <c r="R20" s="168">
        <v>4</v>
      </c>
      <c r="S20" s="40"/>
      <c r="T20" s="164" t="s">
        <v>418</v>
      </c>
      <c r="U20" s="161">
        <v>11.06139203436841</v>
      </c>
      <c r="V20" s="162">
        <v>19.244891342729641</v>
      </c>
      <c r="W20" s="163">
        <v>0.66708739094822611</v>
      </c>
      <c r="X20" s="163">
        <v>0.45828357459609154</v>
      </c>
      <c r="Y20" s="163">
        <v>0.80514553158326585</v>
      </c>
      <c r="Z20" s="40"/>
    </row>
    <row r="21" spans="2:26">
      <c r="B21" s="261"/>
      <c r="C21" s="158" t="s">
        <v>474</v>
      </c>
      <c r="D21" s="155">
        <v>86.585930458834582</v>
      </c>
      <c r="E21" s="156">
        <v>5.5115168974433617</v>
      </c>
      <c r="F21" s="40"/>
      <c r="K21" s="158" t="s">
        <v>488</v>
      </c>
      <c r="L21" s="166">
        <v>1.6289712949216675</v>
      </c>
      <c r="M21" s="166">
        <v>1.4761717475340095</v>
      </c>
      <c r="N21" s="166">
        <v>1.8301739358580358</v>
      </c>
      <c r="O21" s="167">
        <v>0.3540021883240263</v>
      </c>
      <c r="P21" s="166">
        <v>1.2398109765448349</v>
      </c>
      <c r="Q21" s="167">
        <v>1.3592987697817123E-2</v>
      </c>
      <c r="R21" s="168">
        <v>4</v>
      </c>
      <c r="S21" s="40"/>
      <c r="T21" s="164" t="s">
        <v>419</v>
      </c>
      <c r="U21" s="161">
        <v>11.662500447029025</v>
      </c>
      <c r="V21" s="162">
        <v>18.318557817669131</v>
      </c>
      <c r="W21" s="163">
        <v>0.67949290661898631</v>
      </c>
      <c r="X21" s="163">
        <v>0.46803313330486668</v>
      </c>
      <c r="Y21" s="163">
        <v>0.79892789080150595</v>
      </c>
      <c r="Z21" s="40"/>
    </row>
    <row r="22" spans="2:26">
      <c r="B22" s="261"/>
      <c r="C22" s="158" t="s">
        <v>117</v>
      </c>
      <c r="D22" s="155">
        <v>1570.9999999999886</v>
      </c>
      <c r="E22" s="156">
        <v>100</v>
      </c>
      <c r="F22" s="40"/>
      <c r="K22" s="158" t="s">
        <v>489</v>
      </c>
      <c r="L22" s="167">
        <v>0.57578779798262381</v>
      </c>
      <c r="M22" s="167">
        <v>0.50860828501882094</v>
      </c>
      <c r="N22" s="167">
        <v>0.6091575215859979</v>
      </c>
      <c r="O22" s="167">
        <v>0.10054923656717696</v>
      </c>
      <c r="P22" s="166">
        <v>1.197694845972586</v>
      </c>
      <c r="Q22" s="167">
        <v>1.6850795795479798E-3</v>
      </c>
      <c r="R22" s="168">
        <v>4</v>
      </c>
      <c r="S22" s="40"/>
      <c r="T22" s="164" t="s">
        <v>420</v>
      </c>
      <c r="U22" s="161">
        <v>11.211366083397269</v>
      </c>
      <c r="V22" s="162">
        <v>17.610610480473266</v>
      </c>
      <c r="W22" s="163">
        <v>0.64238125270383928</v>
      </c>
      <c r="X22" s="163">
        <v>0.42387454523705526</v>
      </c>
      <c r="Y22" s="163">
        <v>0.81868166828515054</v>
      </c>
      <c r="Z22" s="40"/>
    </row>
    <row r="23" spans="2:26">
      <c r="B23" s="259" t="s">
        <v>472</v>
      </c>
      <c r="C23" s="259"/>
      <c r="D23" s="259"/>
      <c r="E23" s="259"/>
      <c r="F23" s="40"/>
      <c r="T23" s="164" t="s">
        <v>421</v>
      </c>
      <c r="U23" s="161">
        <v>11.202141250930318</v>
      </c>
      <c r="V23" s="162">
        <v>18.106943707109718</v>
      </c>
      <c r="W23" s="163">
        <v>0.72787959714207406</v>
      </c>
      <c r="X23" s="163">
        <v>0.53023548221667149</v>
      </c>
      <c r="Y23" s="163">
        <v>0.77844929808731811</v>
      </c>
    </row>
    <row r="24" spans="2:26">
      <c r="B24" s="259"/>
      <c r="C24" s="259"/>
      <c r="D24" s="259"/>
      <c r="E24" s="259"/>
      <c r="T24" s="165"/>
      <c r="U24" s="11"/>
      <c r="V24" s="11"/>
      <c r="W24" s="11"/>
      <c r="X24" s="11"/>
      <c r="Y24" s="11"/>
    </row>
    <row r="25" spans="2:26" ht="15" customHeight="1">
      <c r="B25" s="259" t="s">
        <v>473</v>
      </c>
      <c r="C25" s="259"/>
      <c r="D25" s="259"/>
      <c r="E25" s="259"/>
      <c r="T25" s="165"/>
      <c r="U25" s="11"/>
      <c r="V25" s="11"/>
      <c r="W25" s="11"/>
      <c r="X25" s="11"/>
      <c r="Y25" s="11"/>
    </row>
    <row r="26" spans="2:26">
      <c r="B26" s="259"/>
      <c r="C26" s="259"/>
      <c r="D26" s="259"/>
      <c r="E26" s="259"/>
      <c r="T26" s="165"/>
      <c r="U26" s="11"/>
      <c r="V26" s="11"/>
      <c r="W26" s="11"/>
      <c r="X26" s="11"/>
      <c r="Y26" s="11"/>
    </row>
    <row r="27" spans="2:26">
      <c r="B27" s="259"/>
      <c r="C27" s="259"/>
      <c r="D27" s="259"/>
      <c r="E27" s="259"/>
      <c r="T27" s="165"/>
      <c r="U27" s="11"/>
      <c r="V27" s="11"/>
      <c r="W27" s="11"/>
      <c r="X27" s="11"/>
      <c r="Y27" s="11"/>
    </row>
    <row r="28" spans="2:26">
      <c r="T28" s="165"/>
      <c r="U28" s="11"/>
      <c r="V28" s="11"/>
      <c r="W28" s="11"/>
      <c r="X28" s="11"/>
      <c r="Y28" s="11"/>
    </row>
    <row r="29" spans="2:26">
      <c r="T29" s="165"/>
      <c r="U29" s="11"/>
      <c r="V29" s="11"/>
      <c r="W29" s="11"/>
      <c r="X29" s="11"/>
      <c r="Y29" s="11"/>
    </row>
    <row r="30" spans="2:26">
      <c r="T30" s="165"/>
      <c r="U30" s="11"/>
      <c r="V30" s="11"/>
      <c r="W30" s="11"/>
      <c r="X30" s="11"/>
      <c r="Y30" s="11"/>
    </row>
    <row r="31" spans="2:26">
      <c r="T31" s="165"/>
      <c r="U31" s="11"/>
      <c r="V31" s="11"/>
      <c r="W31" s="11"/>
      <c r="X31" s="11"/>
      <c r="Y31" s="11"/>
    </row>
    <row r="32" spans="2:26">
      <c r="T32" s="165"/>
      <c r="U32" s="11"/>
      <c r="V32" s="11"/>
      <c r="W32" s="11"/>
      <c r="X32" s="11"/>
      <c r="Y32" s="11"/>
    </row>
    <row r="33" spans="20:25">
      <c r="T33" s="165"/>
      <c r="U33" s="11"/>
      <c r="V33" s="11"/>
      <c r="W33" s="11"/>
      <c r="X33" s="11"/>
      <c r="Y33" s="11"/>
    </row>
    <row r="34" spans="20:25">
      <c r="T34" s="165"/>
      <c r="U34" s="11"/>
      <c r="V34" s="11"/>
      <c r="W34" s="11"/>
      <c r="X34" s="11"/>
      <c r="Y34" s="11"/>
    </row>
    <row r="35" spans="20:25">
      <c r="T35" s="165"/>
      <c r="U35" s="11"/>
      <c r="V35" s="11"/>
      <c r="W35" s="11"/>
      <c r="X35" s="11"/>
      <c r="Y35" s="11"/>
    </row>
  </sheetData>
  <mergeCells count="30">
    <mergeCell ref="K1:R1"/>
    <mergeCell ref="K2"/>
    <mergeCell ref="T1:Y1"/>
    <mergeCell ref="B19:C19"/>
    <mergeCell ref="T17:Y17"/>
    <mergeCell ref="B7:E8"/>
    <mergeCell ref="B3:C3"/>
    <mergeCell ref="B4:B6"/>
    <mergeCell ref="G1:I1"/>
    <mergeCell ref="B9:E11"/>
    <mergeCell ref="B1:E2"/>
    <mergeCell ref="B17:E18"/>
    <mergeCell ref="V2:V3"/>
    <mergeCell ref="W2:W3"/>
    <mergeCell ref="X2:X3"/>
    <mergeCell ref="Y2:Y3"/>
    <mergeCell ref="B25:E27"/>
    <mergeCell ref="T2:T3"/>
    <mergeCell ref="U2:U3"/>
    <mergeCell ref="B20:B22"/>
    <mergeCell ref="G17:I17"/>
    <mergeCell ref="K17:R17"/>
    <mergeCell ref="K18"/>
    <mergeCell ref="T18:T19"/>
    <mergeCell ref="U18:U19"/>
    <mergeCell ref="V18:V19"/>
    <mergeCell ref="W18:W19"/>
    <mergeCell ref="X18:X19"/>
    <mergeCell ref="Y18:Y19"/>
    <mergeCell ref="B23:E24"/>
  </mergeCells>
  <pageMargins left="0.7" right="0.7" top="0.75" bottom="0.75" header="0.3" footer="0.3"/>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U44"/>
  <sheetViews>
    <sheetView topLeftCell="N1" workbookViewId="0">
      <selection activeCell="AA14" sqref="AA14"/>
    </sheetView>
  </sheetViews>
  <sheetFormatPr baseColWidth="10" defaultRowHeight="14" x14ac:dyDescent="0"/>
  <cols>
    <col min="10" max="10" width="22.5" bestFit="1" customWidth="1"/>
    <col min="11" max="11" width="33.5" bestFit="1" customWidth="1"/>
    <col min="13" max="13" width="25.5" bestFit="1" customWidth="1"/>
    <col min="20" max="20" width="23.33203125" bestFit="1" customWidth="1"/>
    <col min="21" max="21" width="13.1640625" bestFit="1" customWidth="1"/>
  </cols>
  <sheetData>
    <row r="1" spans="3:21" ht="15" thickBot="1"/>
    <row r="2" spans="3:21" ht="16" thickBot="1">
      <c r="C2" s="267" t="s">
        <v>376</v>
      </c>
      <c r="D2" s="268"/>
      <c r="E2" s="268"/>
      <c r="F2" s="268"/>
      <c r="G2" s="268"/>
      <c r="H2" s="269"/>
      <c r="J2" s="271" t="s">
        <v>375</v>
      </c>
      <c r="K2" s="272"/>
      <c r="M2" s="281" t="s">
        <v>376</v>
      </c>
      <c r="N2" s="282"/>
      <c r="O2" s="282"/>
      <c r="P2" s="282"/>
      <c r="Q2" s="282"/>
      <c r="R2" s="283"/>
      <c r="T2" s="271" t="s">
        <v>375</v>
      </c>
      <c r="U2" s="272"/>
    </row>
    <row r="3" spans="3:21" ht="57" thickBot="1">
      <c r="C3" s="30" t="s">
        <v>377</v>
      </c>
      <c r="D3" s="30" t="s">
        <v>315</v>
      </c>
      <c r="E3" s="30" t="s">
        <v>314</v>
      </c>
      <c r="F3" s="30" t="s">
        <v>313</v>
      </c>
      <c r="G3" s="30" t="s">
        <v>312</v>
      </c>
      <c r="H3" s="30" t="s">
        <v>378</v>
      </c>
      <c r="J3" s="273" t="s">
        <v>99</v>
      </c>
      <c r="K3" s="186" t="s">
        <v>551</v>
      </c>
      <c r="M3" s="190"/>
      <c r="N3" s="191" t="s">
        <v>315</v>
      </c>
      <c r="O3" s="191" t="s">
        <v>314</v>
      </c>
      <c r="P3" s="191" t="s">
        <v>313</v>
      </c>
      <c r="Q3" s="191" t="s">
        <v>312</v>
      </c>
      <c r="R3" s="191" t="s">
        <v>311</v>
      </c>
      <c r="T3" s="273" t="s">
        <v>99</v>
      </c>
      <c r="U3" s="186" t="s">
        <v>551</v>
      </c>
    </row>
    <row r="4" spans="3:21" ht="15">
      <c r="C4" s="28" t="s">
        <v>100</v>
      </c>
      <c r="D4" s="31">
        <v>7.4770430000000001E-3</v>
      </c>
      <c r="E4" s="31">
        <v>2.7887740000000001E-2</v>
      </c>
      <c r="F4" s="31">
        <v>0.23248769999999999</v>
      </c>
      <c r="G4" s="31">
        <v>0.53656950000000003</v>
      </c>
      <c r="H4" s="32">
        <v>0.195578</v>
      </c>
      <c r="J4" s="274"/>
      <c r="K4" s="186" t="s">
        <v>552</v>
      </c>
      <c r="M4" s="192" t="s">
        <v>100</v>
      </c>
      <c r="N4" s="193">
        <v>0.01</v>
      </c>
      <c r="O4" s="193">
        <v>0.03</v>
      </c>
      <c r="P4" s="193">
        <v>0.26</v>
      </c>
      <c r="Q4" s="193">
        <v>0.52</v>
      </c>
      <c r="R4" s="194">
        <v>0.18</v>
      </c>
      <c r="T4" s="274"/>
      <c r="U4" s="186" t="s">
        <v>552</v>
      </c>
    </row>
    <row r="5" spans="3:21" ht="15">
      <c r="C5" s="29" t="s">
        <v>99</v>
      </c>
      <c r="D5" s="33">
        <v>7.7423800000000001E-3</v>
      </c>
      <c r="E5" s="33">
        <v>2.8840910000000001E-2</v>
      </c>
      <c r="F5" s="33">
        <v>0.23821619999999999</v>
      </c>
      <c r="G5" s="33">
        <v>0.53509180000000001</v>
      </c>
      <c r="H5" s="34">
        <v>0.19010869999999999</v>
      </c>
      <c r="J5" s="274" t="s">
        <v>98</v>
      </c>
      <c r="K5" s="186" t="s">
        <v>553</v>
      </c>
      <c r="M5" s="192" t="s">
        <v>99</v>
      </c>
      <c r="N5" s="193">
        <v>0.01</v>
      </c>
      <c r="O5" s="193">
        <v>0.03</v>
      </c>
      <c r="P5" s="193">
        <v>0.27</v>
      </c>
      <c r="Q5" s="193">
        <v>0.52</v>
      </c>
      <c r="R5" s="194">
        <v>0.17</v>
      </c>
      <c r="T5" s="274" t="s">
        <v>98</v>
      </c>
      <c r="U5" s="186" t="s">
        <v>553</v>
      </c>
    </row>
    <row r="6" spans="3:21" ht="16" thickBot="1">
      <c r="C6" s="35" t="s">
        <v>379</v>
      </c>
      <c r="D6" s="36">
        <f>D5-D4</f>
        <v>2.6533700000000004E-4</v>
      </c>
      <c r="E6" s="36">
        <f>E5-E4</f>
        <v>9.5316999999999971E-4</v>
      </c>
      <c r="F6" s="36">
        <f>F5-F4</f>
        <v>5.7284999999999975E-3</v>
      </c>
      <c r="G6" s="36">
        <f>G5-G4</f>
        <v>-1.4777000000000262E-3</v>
      </c>
      <c r="H6" s="37">
        <f>H5-H4</f>
        <v>-5.4693000000000103E-3</v>
      </c>
      <c r="J6" s="274"/>
      <c r="K6" s="186" t="s">
        <v>554</v>
      </c>
      <c r="M6" s="195" t="s">
        <v>592</v>
      </c>
      <c r="N6" s="196">
        <v>0</v>
      </c>
      <c r="O6" s="196">
        <v>0</v>
      </c>
      <c r="P6" s="196">
        <v>0.01</v>
      </c>
      <c r="Q6" s="196">
        <v>0</v>
      </c>
      <c r="R6" s="197">
        <v>-0.01</v>
      </c>
      <c r="T6" s="274"/>
      <c r="U6" s="186" t="s">
        <v>554</v>
      </c>
    </row>
    <row r="7" spans="3:21" ht="15">
      <c r="C7" s="28" t="s">
        <v>380</v>
      </c>
      <c r="D7" s="31">
        <v>9.4418869999999995E-3</v>
      </c>
      <c r="E7" s="31">
        <v>3.4888849999999999E-2</v>
      </c>
      <c r="F7" s="31">
        <v>0.27209529999999998</v>
      </c>
      <c r="G7" s="31">
        <v>0.52239270000000004</v>
      </c>
      <c r="H7" s="32">
        <v>0.1611813</v>
      </c>
      <c r="J7" s="274" t="s">
        <v>362</v>
      </c>
      <c r="K7" s="186" t="s">
        <v>555</v>
      </c>
      <c r="M7" s="192" t="s">
        <v>380</v>
      </c>
      <c r="N7" s="193">
        <v>0.01</v>
      </c>
      <c r="O7" s="193">
        <v>0.04</v>
      </c>
      <c r="P7" s="193">
        <v>0.31</v>
      </c>
      <c r="Q7" s="193">
        <v>0.5</v>
      </c>
      <c r="R7" s="194">
        <v>0.14000000000000001</v>
      </c>
      <c r="T7" s="274" t="s">
        <v>362</v>
      </c>
      <c r="U7" s="186" t="s">
        <v>555</v>
      </c>
    </row>
    <row r="8" spans="3:21" ht="15">
      <c r="C8" s="29" t="s">
        <v>381</v>
      </c>
      <c r="D8" s="33">
        <v>5.1976660000000001E-3</v>
      </c>
      <c r="E8" s="33">
        <v>1.9598549999999999E-2</v>
      </c>
      <c r="F8" s="33">
        <v>0.17758669999999999</v>
      </c>
      <c r="G8" s="33">
        <v>0.53805449999999999</v>
      </c>
      <c r="H8" s="34">
        <v>0.25956259999999998</v>
      </c>
      <c r="J8" s="274"/>
      <c r="K8" s="186" t="s">
        <v>556</v>
      </c>
      <c r="M8" s="192" t="s">
        <v>381</v>
      </c>
      <c r="N8" s="193">
        <v>0.01</v>
      </c>
      <c r="O8" s="193">
        <v>0.02</v>
      </c>
      <c r="P8" s="193">
        <v>0.19</v>
      </c>
      <c r="Q8" s="193">
        <v>0.53</v>
      </c>
      <c r="R8" s="194">
        <v>0.25</v>
      </c>
      <c r="T8" s="274"/>
      <c r="U8" s="186" t="s">
        <v>556</v>
      </c>
    </row>
    <row r="9" spans="3:21" ht="16" thickBot="1">
      <c r="C9" s="35" t="s">
        <v>382</v>
      </c>
      <c r="D9" s="36">
        <f>D8-D7</f>
        <v>-4.2442209999999994E-3</v>
      </c>
      <c r="E9" s="36">
        <f>E8-E7</f>
        <v>-1.52903E-2</v>
      </c>
      <c r="F9" s="36">
        <f>F8-F7</f>
        <v>-9.4508599999999998E-2</v>
      </c>
      <c r="G9" s="36">
        <f>G8-G7</f>
        <v>1.5661799999999948E-2</v>
      </c>
      <c r="H9" s="37">
        <f>H8-H7</f>
        <v>9.8381299999999977E-2</v>
      </c>
      <c r="J9" s="274" t="s">
        <v>363</v>
      </c>
      <c r="K9" s="186" t="s">
        <v>557</v>
      </c>
      <c r="M9" s="195" t="s">
        <v>592</v>
      </c>
      <c r="N9" s="196">
        <v>-0.01</v>
      </c>
      <c r="O9" s="196">
        <v>-0.02</v>
      </c>
      <c r="P9" s="196">
        <v>-0.11</v>
      </c>
      <c r="Q9" s="196">
        <v>0.03</v>
      </c>
      <c r="R9" s="197">
        <v>0.1</v>
      </c>
      <c r="T9" s="274" t="s">
        <v>363</v>
      </c>
      <c r="U9" s="186" t="s">
        <v>557</v>
      </c>
    </row>
    <row r="10" spans="3:21" ht="15">
      <c r="C10" s="28" t="s">
        <v>383</v>
      </c>
      <c r="D10" s="31">
        <v>8.2614630000000001E-3</v>
      </c>
      <c r="E10" s="31">
        <v>3.0698610000000001E-2</v>
      </c>
      <c r="F10" s="31">
        <v>0.24906590000000001</v>
      </c>
      <c r="G10" s="31">
        <v>0.53173360000000003</v>
      </c>
      <c r="H10" s="32">
        <v>0.1802404</v>
      </c>
      <c r="J10" s="274"/>
      <c r="K10" s="186" t="s">
        <v>558</v>
      </c>
      <c r="M10" s="192" t="s">
        <v>383</v>
      </c>
      <c r="N10" s="193">
        <v>0.01</v>
      </c>
      <c r="O10" s="193">
        <v>0.03</v>
      </c>
      <c r="P10" s="193">
        <v>0.25</v>
      </c>
      <c r="Q10" s="193">
        <v>0.53</v>
      </c>
      <c r="R10" s="194">
        <v>0.18</v>
      </c>
      <c r="T10" s="274"/>
      <c r="U10" s="186" t="s">
        <v>558</v>
      </c>
    </row>
    <row r="11" spans="3:21" ht="15">
      <c r="C11" s="29" t="s">
        <v>364</v>
      </c>
      <c r="D11" s="33">
        <v>3.934809E-3</v>
      </c>
      <c r="E11" s="33">
        <v>1.4927050000000001E-2</v>
      </c>
      <c r="F11" s="33">
        <v>0.1421007</v>
      </c>
      <c r="G11" s="33">
        <v>0.52226119999999998</v>
      </c>
      <c r="H11" s="34">
        <v>0.31677620000000001</v>
      </c>
      <c r="J11" s="274" t="s">
        <v>364</v>
      </c>
      <c r="K11" s="186" t="s">
        <v>559</v>
      </c>
      <c r="M11" s="192" t="s">
        <v>364</v>
      </c>
      <c r="N11" s="193">
        <v>0</v>
      </c>
      <c r="O11" s="193">
        <v>0.01</v>
      </c>
      <c r="P11" s="193">
        <v>0.15</v>
      </c>
      <c r="Q11" s="193">
        <v>0.52</v>
      </c>
      <c r="R11" s="194">
        <v>0.32</v>
      </c>
      <c r="T11" s="274" t="s">
        <v>364</v>
      </c>
      <c r="U11" s="186" t="s">
        <v>559</v>
      </c>
    </row>
    <row r="12" spans="3:21" ht="16" thickBot="1">
      <c r="C12" s="35" t="s">
        <v>384</v>
      </c>
      <c r="D12" s="36">
        <f>D11-D10</f>
        <v>-4.3266540000000001E-3</v>
      </c>
      <c r="E12" s="36">
        <f>E11-E10</f>
        <v>-1.577156E-2</v>
      </c>
      <c r="F12" s="36">
        <f>F11-F10</f>
        <v>-0.10696520000000001</v>
      </c>
      <c r="G12" s="36">
        <f>G11-G10</f>
        <v>-9.4724000000000474E-3</v>
      </c>
      <c r="H12" s="37">
        <f>H11-H10</f>
        <v>0.13653580000000001</v>
      </c>
      <c r="J12" s="274"/>
      <c r="K12" s="186" t="s">
        <v>560</v>
      </c>
      <c r="M12" s="195" t="s">
        <v>592</v>
      </c>
      <c r="N12" s="196">
        <v>0</v>
      </c>
      <c r="O12" s="196">
        <v>-0.01</v>
      </c>
      <c r="P12" s="196">
        <v>-0.11</v>
      </c>
      <c r="Q12" s="196">
        <v>-0.01</v>
      </c>
      <c r="R12" s="197">
        <v>0.14000000000000001</v>
      </c>
      <c r="T12" s="274"/>
      <c r="U12" s="186" t="s">
        <v>560</v>
      </c>
    </row>
    <row r="13" spans="3:21" ht="15">
      <c r="C13" s="28" t="s">
        <v>385</v>
      </c>
      <c r="D13" s="31">
        <v>7.6626519999999998E-3</v>
      </c>
      <c r="E13" s="31">
        <v>2.8554759999999998E-2</v>
      </c>
      <c r="F13" s="31">
        <v>0.2365082</v>
      </c>
      <c r="G13" s="31">
        <v>0.53555439999999999</v>
      </c>
      <c r="H13" s="32">
        <v>0.19172</v>
      </c>
      <c r="J13" s="274" t="s">
        <v>365</v>
      </c>
      <c r="K13" s="186" t="s">
        <v>561</v>
      </c>
      <c r="M13" s="192" t="s">
        <v>385</v>
      </c>
      <c r="N13" s="193">
        <v>0.01</v>
      </c>
      <c r="O13" s="193">
        <v>0.03</v>
      </c>
      <c r="P13" s="193">
        <v>0.26</v>
      </c>
      <c r="Q13" s="193">
        <v>0.52</v>
      </c>
      <c r="R13" s="194">
        <v>0.18</v>
      </c>
      <c r="T13" s="274" t="s">
        <v>365</v>
      </c>
      <c r="U13" s="186" t="s">
        <v>561</v>
      </c>
    </row>
    <row r="14" spans="3:21" ht="15">
      <c r="C14" s="29" t="s">
        <v>365</v>
      </c>
      <c r="D14" s="33">
        <v>7.8851370000000004E-3</v>
      </c>
      <c r="E14" s="33">
        <v>2.935273E-2</v>
      </c>
      <c r="F14" s="33">
        <v>0.2412465</v>
      </c>
      <c r="G14" s="33">
        <v>0.53422590000000003</v>
      </c>
      <c r="H14" s="34">
        <v>0.1872897</v>
      </c>
      <c r="J14" s="274"/>
      <c r="K14" s="186" t="s">
        <v>562</v>
      </c>
      <c r="M14" s="192" t="s">
        <v>365</v>
      </c>
      <c r="N14" s="193">
        <v>0.01</v>
      </c>
      <c r="O14" s="193">
        <v>0.03</v>
      </c>
      <c r="P14" s="193">
        <v>0.27</v>
      </c>
      <c r="Q14" s="193">
        <v>0.52</v>
      </c>
      <c r="R14" s="194">
        <v>0.17</v>
      </c>
      <c r="T14" s="274"/>
      <c r="U14" s="186" t="s">
        <v>562</v>
      </c>
    </row>
    <row r="15" spans="3:21" ht="16" thickBot="1">
      <c r="C15" s="35" t="s">
        <v>386</v>
      </c>
      <c r="D15" s="36">
        <f>D14-D13</f>
        <v>2.2248500000000056E-4</v>
      </c>
      <c r="E15" s="36">
        <f>E14-E13</f>
        <v>7.9797000000000201E-4</v>
      </c>
      <c r="F15" s="36">
        <f>F14-F13</f>
        <v>4.7383000000000008E-3</v>
      </c>
      <c r="G15" s="36">
        <f>G14-G13</f>
        <v>-1.3284999999999547E-3</v>
      </c>
      <c r="H15" s="37">
        <f>H14-H13</f>
        <v>-4.4302999999999981E-3</v>
      </c>
      <c r="J15" s="274" t="s">
        <v>366</v>
      </c>
      <c r="K15" s="186" t="s">
        <v>563</v>
      </c>
      <c r="M15" s="195" t="s">
        <v>592</v>
      </c>
      <c r="N15" s="196">
        <v>0</v>
      </c>
      <c r="O15" s="196">
        <v>0</v>
      </c>
      <c r="P15" s="196">
        <v>0.01</v>
      </c>
      <c r="Q15" s="196">
        <v>-0.01</v>
      </c>
      <c r="R15" s="197">
        <v>-0.01</v>
      </c>
      <c r="T15" s="274" t="s">
        <v>366</v>
      </c>
      <c r="U15" s="186" t="s">
        <v>563</v>
      </c>
    </row>
    <row r="16" spans="3:21" ht="15">
      <c r="C16" s="28" t="s">
        <v>387</v>
      </c>
      <c r="D16" s="31">
        <v>5.5993149999999997E-3</v>
      </c>
      <c r="E16" s="31">
        <v>2.1072420000000001E-2</v>
      </c>
      <c r="F16" s="31">
        <v>0.18806120000000001</v>
      </c>
      <c r="G16" s="31">
        <v>0.5398269</v>
      </c>
      <c r="H16" s="32">
        <v>0.2454402</v>
      </c>
      <c r="J16" s="274"/>
      <c r="K16" s="186" t="s">
        <v>564</v>
      </c>
      <c r="M16" s="192" t="s">
        <v>387</v>
      </c>
      <c r="N16" s="193">
        <v>0.01</v>
      </c>
      <c r="O16" s="193">
        <v>0.02</v>
      </c>
      <c r="P16" s="193">
        <v>0.2</v>
      </c>
      <c r="Q16" s="193">
        <v>0.53</v>
      </c>
      <c r="R16" s="194">
        <v>0.24</v>
      </c>
      <c r="T16" s="274"/>
      <c r="U16" s="186" t="s">
        <v>564</v>
      </c>
    </row>
    <row r="17" spans="3:21" ht="15">
      <c r="C17" s="29" t="s">
        <v>388</v>
      </c>
      <c r="D17" s="33">
        <v>8.5468009999999997E-3</v>
      </c>
      <c r="E17" s="33">
        <v>3.1715840000000002E-2</v>
      </c>
      <c r="F17" s="33">
        <v>0.25483620000000001</v>
      </c>
      <c r="G17" s="33">
        <v>0.5296651</v>
      </c>
      <c r="H17" s="34">
        <v>0.17523610000000001</v>
      </c>
      <c r="J17" s="274" t="s">
        <v>371</v>
      </c>
      <c r="K17" s="186" t="s">
        <v>565</v>
      </c>
      <c r="M17" s="192" t="s">
        <v>388</v>
      </c>
      <c r="N17" s="193">
        <v>0.01</v>
      </c>
      <c r="O17" s="193">
        <v>0.04</v>
      </c>
      <c r="P17" s="193">
        <v>0.33</v>
      </c>
      <c r="Q17" s="193">
        <v>0.49</v>
      </c>
      <c r="R17" s="194">
        <v>0.13</v>
      </c>
      <c r="T17" s="274" t="s">
        <v>371</v>
      </c>
      <c r="U17" s="186" t="s">
        <v>565</v>
      </c>
    </row>
    <row r="18" spans="3:21" ht="16" thickBot="1">
      <c r="C18" s="35" t="s">
        <v>389</v>
      </c>
      <c r="D18" s="36">
        <f>D17-D16</f>
        <v>2.947486E-3</v>
      </c>
      <c r="E18" s="36">
        <f>E17-E16</f>
        <v>1.0643420000000001E-2</v>
      </c>
      <c r="F18" s="36">
        <f>F17-F16</f>
        <v>6.6775000000000001E-2</v>
      </c>
      <c r="G18" s="36">
        <f>G17-G16</f>
        <v>-1.0161799999999999E-2</v>
      </c>
      <c r="H18" s="37">
        <f>H17-H16</f>
        <v>-7.0204099999999992E-2</v>
      </c>
      <c r="J18" s="274"/>
      <c r="K18" s="186" t="s">
        <v>566</v>
      </c>
      <c r="M18" s="195" t="s">
        <v>592</v>
      </c>
      <c r="N18" s="196">
        <v>0.01</v>
      </c>
      <c r="O18" s="196">
        <v>0.02</v>
      </c>
      <c r="P18" s="196">
        <v>0.13</v>
      </c>
      <c r="Q18" s="196">
        <v>-0.05</v>
      </c>
      <c r="R18" s="197">
        <v>-0.11</v>
      </c>
      <c r="T18" s="274"/>
      <c r="U18" s="186" t="s">
        <v>566</v>
      </c>
    </row>
    <row r="19" spans="3:21" ht="15">
      <c r="C19" s="28" t="s">
        <v>390</v>
      </c>
      <c r="D19" s="31">
        <v>9.4101830000000008E-3</v>
      </c>
      <c r="E19" s="31">
        <v>3.4776929999999998E-2</v>
      </c>
      <c r="F19" s="31">
        <v>0.27150489999999999</v>
      </c>
      <c r="G19" s="31">
        <v>0.52266710000000005</v>
      </c>
      <c r="H19" s="32">
        <v>0.1616409</v>
      </c>
      <c r="J19" s="274" t="s">
        <v>372</v>
      </c>
      <c r="K19" s="186" t="s">
        <v>567</v>
      </c>
      <c r="M19" s="192" t="s">
        <v>394</v>
      </c>
      <c r="N19" s="193">
        <v>0.02</v>
      </c>
      <c r="O19" s="193">
        <v>0.06</v>
      </c>
      <c r="P19" s="193">
        <v>0.41</v>
      </c>
      <c r="Q19" s="193">
        <v>0.42</v>
      </c>
      <c r="R19" s="194">
        <v>0.08</v>
      </c>
      <c r="T19" s="274" t="s">
        <v>372</v>
      </c>
      <c r="U19" s="186" t="s">
        <v>567</v>
      </c>
    </row>
    <row r="20" spans="3:21" ht="15">
      <c r="C20" s="29" t="s">
        <v>391</v>
      </c>
      <c r="D20" s="33">
        <v>3.1501139999999999E-3</v>
      </c>
      <c r="E20" s="33">
        <v>1.1995509999999999E-2</v>
      </c>
      <c r="F20" s="33">
        <v>0.1179</v>
      </c>
      <c r="G20" s="33">
        <v>0.50002579999999996</v>
      </c>
      <c r="H20" s="34">
        <v>0.36692859999999999</v>
      </c>
      <c r="J20" s="274"/>
      <c r="K20" s="186" t="s">
        <v>568</v>
      </c>
      <c r="M20" s="192" t="s">
        <v>395</v>
      </c>
      <c r="N20" s="193">
        <v>0.01</v>
      </c>
      <c r="O20" s="193">
        <v>0.03</v>
      </c>
      <c r="P20" s="193">
        <v>0.26</v>
      </c>
      <c r="Q20" s="193">
        <v>0.52</v>
      </c>
      <c r="R20" s="194">
        <v>0.18</v>
      </c>
      <c r="T20" s="274"/>
      <c r="U20" s="186" t="s">
        <v>568</v>
      </c>
    </row>
    <row r="21" spans="3:21" ht="16" thickBot="1">
      <c r="C21" s="35" t="s">
        <v>392</v>
      </c>
      <c r="D21" s="36">
        <f>D20-D19</f>
        <v>-6.2600690000000009E-3</v>
      </c>
      <c r="E21" s="36">
        <f>E20-E19</f>
        <v>-2.2781419999999997E-2</v>
      </c>
      <c r="F21" s="36">
        <f>F20-F19</f>
        <v>-0.15360489999999999</v>
      </c>
      <c r="G21" s="36">
        <f>G20-G19</f>
        <v>-2.2641300000000086E-2</v>
      </c>
      <c r="H21" s="37">
        <f>H20-H19</f>
        <v>0.20528769999999999</v>
      </c>
      <c r="J21" s="274" t="s">
        <v>373</v>
      </c>
      <c r="K21" s="186" t="s">
        <v>569</v>
      </c>
      <c r="M21" s="195" t="s">
        <v>592</v>
      </c>
      <c r="N21" s="196">
        <v>-0.01</v>
      </c>
      <c r="O21" s="196">
        <v>-0.03</v>
      </c>
      <c r="P21" s="196">
        <v>-0.15</v>
      </c>
      <c r="Q21" s="196">
        <v>0.11</v>
      </c>
      <c r="R21" s="197">
        <v>0.09</v>
      </c>
      <c r="T21" s="274" t="s">
        <v>373</v>
      </c>
      <c r="U21" s="186" t="s">
        <v>569</v>
      </c>
    </row>
    <row r="22" spans="3:21" ht="15">
      <c r="C22" s="28" t="s">
        <v>393</v>
      </c>
      <c r="D22" s="31">
        <v>7.6626519999999998E-3</v>
      </c>
      <c r="E22" s="31">
        <v>2.8554759999999998E-2</v>
      </c>
      <c r="F22" s="31">
        <v>0.2365082</v>
      </c>
      <c r="G22" s="31">
        <v>0.53555439999999999</v>
      </c>
      <c r="H22" s="32">
        <v>0.19172</v>
      </c>
      <c r="J22" s="274"/>
      <c r="K22" s="186" t="s">
        <v>570</v>
      </c>
      <c r="M22" s="192" t="s">
        <v>396</v>
      </c>
      <c r="N22" s="193">
        <v>0.01</v>
      </c>
      <c r="O22" s="193">
        <v>0.03</v>
      </c>
      <c r="P22" s="193">
        <v>0.28000000000000003</v>
      </c>
      <c r="Q22" s="193">
        <v>0.52</v>
      </c>
      <c r="R22" s="194">
        <v>0.16</v>
      </c>
      <c r="T22" s="274"/>
      <c r="U22" s="186" t="s">
        <v>570</v>
      </c>
    </row>
    <row r="23" spans="3:21" ht="15">
      <c r="C23" s="29" t="s">
        <v>370</v>
      </c>
      <c r="D23" s="33">
        <v>5.2354439999999997E-3</v>
      </c>
      <c r="E23" s="33">
        <v>1.973743E-2</v>
      </c>
      <c r="F23" s="33">
        <v>0.17858779999999999</v>
      </c>
      <c r="G23" s="33">
        <v>0.53827340000000001</v>
      </c>
      <c r="H23" s="34">
        <v>0.2581659</v>
      </c>
      <c r="J23" s="274" t="s">
        <v>571</v>
      </c>
      <c r="K23" s="186" t="s">
        <v>572</v>
      </c>
      <c r="M23" s="192" t="s">
        <v>397</v>
      </c>
      <c r="N23" s="193">
        <v>0.01</v>
      </c>
      <c r="O23" s="193">
        <v>0.03</v>
      </c>
      <c r="P23" s="193">
        <v>0.24</v>
      </c>
      <c r="Q23" s="193">
        <v>0.53</v>
      </c>
      <c r="R23" s="194">
        <v>0.19</v>
      </c>
      <c r="T23" s="274" t="s">
        <v>571</v>
      </c>
      <c r="U23" s="186" t="s">
        <v>572</v>
      </c>
    </row>
    <row r="24" spans="3:21" ht="16" thickBot="1">
      <c r="C24" s="35" t="s">
        <v>386</v>
      </c>
      <c r="D24" s="36">
        <f>D23-D22</f>
        <v>-2.4272080000000001E-3</v>
      </c>
      <c r="E24" s="36">
        <f>E23-E22</f>
        <v>-8.8173299999999982E-3</v>
      </c>
      <c r="F24" s="36">
        <f>F23-F22</f>
        <v>-5.7920400000000011E-2</v>
      </c>
      <c r="G24" s="36">
        <f>G23-G22</f>
        <v>2.719000000000027E-3</v>
      </c>
      <c r="H24" s="37">
        <f>H23-H22</f>
        <v>6.6445900000000002E-2</v>
      </c>
      <c r="J24" s="274"/>
      <c r="K24" s="186" t="s">
        <v>573</v>
      </c>
      <c r="M24" s="195" t="s">
        <v>592</v>
      </c>
      <c r="N24" s="196">
        <v>0</v>
      </c>
      <c r="O24" s="196">
        <v>-0.01</v>
      </c>
      <c r="P24" s="196">
        <v>-0.04</v>
      </c>
      <c r="Q24" s="196">
        <v>0.01</v>
      </c>
      <c r="R24" s="197">
        <v>0.03</v>
      </c>
      <c r="T24" s="274"/>
      <c r="U24" s="186" t="s">
        <v>573</v>
      </c>
    </row>
    <row r="25" spans="3:21" ht="15">
      <c r="C25" s="28" t="s">
        <v>394</v>
      </c>
      <c r="D25" s="31">
        <v>1.7309325E-2</v>
      </c>
      <c r="E25" s="31">
        <v>6.1642839999999997E-2</v>
      </c>
      <c r="F25" s="31">
        <v>0.38208160000000002</v>
      </c>
      <c r="G25" s="31">
        <v>0.44477739999999999</v>
      </c>
      <c r="H25" s="32">
        <v>9.4188900000000006E-2</v>
      </c>
      <c r="J25" s="274" t="s">
        <v>367</v>
      </c>
      <c r="K25" s="186" t="s">
        <v>574</v>
      </c>
      <c r="M25" s="192" t="s">
        <v>398</v>
      </c>
      <c r="N25" s="193">
        <v>0.01</v>
      </c>
      <c r="O25" s="193">
        <v>0.03</v>
      </c>
      <c r="P25" s="193">
        <v>0.28999999999999998</v>
      </c>
      <c r="Q25" s="193">
        <v>0.51</v>
      </c>
      <c r="R25" s="194">
        <v>0.16</v>
      </c>
      <c r="T25" s="274" t="s">
        <v>367</v>
      </c>
      <c r="U25" s="186" t="s">
        <v>574</v>
      </c>
    </row>
    <row r="26" spans="3:21" ht="15">
      <c r="C26" s="29" t="s">
        <v>395</v>
      </c>
      <c r="D26" s="33">
        <v>7.6626519999999998E-3</v>
      </c>
      <c r="E26" s="33">
        <v>2.8554759999999998E-2</v>
      </c>
      <c r="F26" s="33">
        <v>0.2365082</v>
      </c>
      <c r="G26" s="33">
        <v>0.53555439999999999</v>
      </c>
      <c r="H26" s="34">
        <v>0.19172</v>
      </c>
      <c r="J26" s="274"/>
      <c r="K26" s="186" t="s">
        <v>575</v>
      </c>
      <c r="M26" s="192" t="s">
        <v>399</v>
      </c>
      <c r="N26" s="193">
        <v>0.01</v>
      </c>
      <c r="O26" s="193">
        <v>0.02</v>
      </c>
      <c r="P26" s="193">
        <v>0.24</v>
      </c>
      <c r="Q26" s="193">
        <v>0.53</v>
      </c>
      <c r="R26" s="194">
        <v>0.2</v>
      </c>
      <c r="T26" s="274"/>
      <c r="U26" s="186" t="s">
        <v>575</v>
      </c>
    </row>
    <row r="27" spans="3:21" ht="16" thickBot="1">
      <c r="C27" s="35" t="s">
        <v>386</v>
      </c>
      <c r="D27" s="36">
        <f>D26-D25</f>
        <v>-9.6466730000000014E-3</v>
      </c>
      <c r="E27" s="36">
        <f>E26-E25</f>
        <v>-3.3088079999999999E-2</v>
      </c>
      <c r="F27" s="36">
        <f>F26-F25</f>
        <v>-0.14557340000000002</v>
      </c>
      <c r="G27" s="36">
        <f>G26-G25</f>
        <v>9.0776999999999997E-2</v>
      </c>
      <c r="H27" s="37">
        <f>H26-H25</f>
        <v>9.7531099999999996E-2</v>
      </c>
      <c r="J27" s="274" t="s">
        <v>368</v>
      </c>
      <c r="K27" s="186" t="s">
        <v>576</v>
      </c>
      <c r="M27" s="195" t="s">
        <v>592</v>
      </c>
      <c r="N27" s="196">
        <v>0</v>
      </c>
      <c r="O27" s="196">
        <v>-0.01</v>
      </c>
      <c r="P27" s="196">
        <v>-0.05</v>
      </c>
      <c r="Q27" s="196">
        <v>0.02</v>
      </c>
      <c r="R27" s="197">
        <v>0.04</v>
      </c>
      <c r="T27" s="274" t="s">
        <v>368</v>
      </c>
      <c r="U27" s="186" t="s">
        <v>576</v>
      </c>
    </row>
    <row r="28" spans="3:21" ht="15">
      <c r="C28" s="28" t="s">
        <v>396</v>
      </c>
      <c r="D28" s="31">
        <v>9.0849680000000006E-3</v>
      </c>
      <c r="E28" s="31">
        <v>3.3626860000000001E-2</v>
      </c>
      <c r="F28" s="31">
        <v>0.26536189999999998</v>
      </c>
      <c r="G28" s="31">
        <v>0.52541680000000002</v>
      </c>
      <c r="H28" s="32">
        <v>0.1665095</v>
      </c>
      <c r="J28" s="274"/>
      <c r="K28" s="186" t="s">
        <v>577</v>
      </c>
      <c r="M28" s="192" t="s">
        <v>593</v>
      </c>
      <c r="N28" s="193">
        <v>0.01</v>
      </c>
      <c r="O28" s="193">
        <v>0.03</v>
      </c>
      <c r="P28" s="193">
        <v>0.25</v>
      </c>
      <c r="Q28" s="193">
        <v>0.53</v>
      </c>
      <c r="R28" s="194">
        <v>0.19</v>
      </c>
      <c r="T28" s="274"/>
      <c r="U28" s="186" t="s">
        <v>577</v>
      </c>
    </row>
    <row r="29" spans="3:21" ht="15">
      <c r="C29" s="29" t="s">
        <v>397</v>
      </c>
      <c r="D29" s="33">
        <v>6.8524370000000003E-3</v>
      </c>
      <c r="E29" s="33">
        <v>2.563435E-2</v>
      </c>
      <c r="F29" s="33">
        <v>0.2184904</v>
      </c>
      <c r="G29" s="33">
        <v>0.53925120000000004</v>
      </c>
      <c r="H29" s="34">
        <v>0.2097716</v>
      </c>
      <c r="J29" s="274" t="s">
        <v>369</v>
      </c>
      <c r="K29" s="186" t="s">
        <v>578</v>
      </c>
      <c r="M29" s="192" t="s">
        <v>594</v>
      </c>
      <c r="N29" s="193">
        <v>0.01</v>
      </c>
      <c r="O29" s="193">
        <v>0.03</v>
      </c>
      <c r="P29" s="193">
        <v>0.27</v>
      </c>
      <c r="Q29" s="193">
        <v>0.52</v>
      </c>
      <c r="R29" s="194">
        <v>0.17</v>
      </c>
      <c r="T29" s="274" t="s">
        <v>369</v>
      </c>
      <c r="U29" s="186" t="s">
        <v>578</v>
      </c>
    </row>
    <row r="30" spans="3:21" ht="16" thickBot="1">
      <c r="C30" s="35" t="s">
        <v>386</v>
      </c>
      <c r="D30" s="36">
        <f>D29-D28</f>
        <v>-2.2325310000000003E-3</v>
      </c>
      <c r="E30" s="36">
        <f>E29-E28</f>
        <v>-7.9925100000000013E-3</v>
      </c>
      <c r="F30" s="36">
        <f>F29-F28</f>
        <v>-4.6871499999999983E-2</v>
      </c>
      <c r="G30" s="36">
        <f>G29-G28</f>
        <v>1.3834400000000024E-2</v>
      </c>
      <c r="H30" s="37">
        <f>H29-H28</f>
        <v>4.3262099999999998E-2</v>
      </c>
      <c r="J30" s="274"/>
      <c r="K30" s="186" t="s">
        <v>579</v>
      </c>
      <c r="M30" s="195" t="s">
        <v>592</v>
      </c>
      <c r="N30" s="196">
        <v>0</v>
      </c>
      <c r="O30" s="196">
        <v>0</v>
      </c>
      <c r="P30" s="196">
        <v>0.02</v>
      </c>
      <c r="Q30" s="196">
        <v>-0.01</v>
      </c>
      <c r="R30" s="197">
        <v>-0.02</v>
      </c>
      <c r="T30" s="274"/>
      <c r="U30" s="186" t="s">
        <v>579</v>
      </c>
    </row>
    <row r="31" spans="3:21" ht="15">
      <c r="C31" s="28" t="s">
        <v>398</v>
      </c>
      <c r="D31" s="31">
        <v>7.433332E-3</v>
      </c>
      <c r="E31" s="31">
        <v>2.7730479999999998E-2</v>
      </c>
      <c r="F31" s="31">
        <v>0.23153180000000001</v>
      </c>
      <c r="G31" s="31">
        <v>0.53679529999999998</v>
      </c>
      <c r="H31" s="32">
        <v>0.19650899999999999</v>
      </c>
      <c r="J31" s="274" t="s">
        <v>580</v>
      </c>
      <c r="K31" s="186" t="s">
        <v>581</v>
      </c>
      <c r="M31" s="192" t="s">
        <v>595</v>
      </c>
      <c r="N31" s="193">
        <v>0.01</v>
      </c>
      <c r="O31" s="193">
        <v>0.04</v>
      </c>
      <c r="P31" s="193">
        <v>0.31</v>
      </c>
      <c r="Q31" s="193">
        <v>0.5</v>
      </c>
      <c r="R31" s="194">
        <v>0.14000000000000001</v>
      </c>
      <c r="T31" s="274" t="s">
        <v>580</v>
      </c>
      <c r="U31" s="186" t="s">
        <v>581</v>
      </c>
    </row>
    <row r="32" spans="3:21" ht="15">
      <c r="C32" s="29" t="s">
        <v>399</v>
      </c>
      <c r="D32" s="33">
        <v>7.8438540000000008E-3</v>
      </c>
      <c r="E32" s="33">
        <v>2.9204790000000001E-2</v>
      </c>
      <c r="F32" s="33">
        <v>0.2403739</v>
      </c>
      <c r="G32" s="33">
        <v>0.53448110000000004</v>
      </c>
      <c r="H32" s="34">
        <v>0.1880964</v>
      </c>
      <c r="J32" s="274"/>
      <c r="K32" s="186" t="s">
        <v>582</v>
      </c>
      <c r="M32" s="192" t="s">
        <v>596</v>
      </c>
      <c r="N32" s="193">
        <v>0</v>
      </c>
      <c r="O32" s="193">
        <v>0.01</v>
      </c>
      <c r="P32" s="193">
        <v>0.15</v>
      </c>
      <c r="Q32" s="193">
        <v>0.52</v>
      </c>
      <c r="R32" s="194">
        <v>0.32</v>
      </c>
      <c r="T32" s="274"/>
      <c r="U32" s="186" t="s">
        <v>582</v>
      </c>
    </row>
    <row r="33" spans="3:21" ht="16" thickBot="1">
      <c r="C33" s="35" t="s">
        <v>386</v>
      </c>
      <c r="D33" s="36">
        <f>D32-D31</f>
        <v>4.1052200000000084E-4</v>
      </c>
      <c r="E33" s="36">
        <f>E32-E31</f>
        <v>1.474310000000003E-3</v>
      </c>
      <c r="F33" s="36">
        <f>F32-F31</f>
        <v>8.8420999999999916E-3</v>
      </c>
      <c r="G33" s="36">
        <f>G32-G31</f>
        <v>-2.314199999999933E-3</v>
      </c>
      <c r="H33" s="37">
        <f>H32-H31</f>
        <v>-8.4125999999999923E-3</v>
      </c>
      <c r="J33" s="274" t="s">
        <v>370</v>
      </c>
      <c r="K33" s="186" t="s">
        <v>583</v>
      </c>
      <c r="M33" s="195" t="s">
        <v>592</v>
      </c>
      <c r="N33" s="196">
        <v>-0.01</v>
      </c>
      <c r="O33" s="196">
        <v>-0.02</v>
      </c>
      <c r="P33" s="196">
        <v>-0.16</v>
      </c>
      <c r="Q33" s="196">
        <v>0.02</v>
      </c>
      <c r="R33" s="197">
        <v>0.17</v>
      </c>
      <c r="T33" s="274" t="s">
        <v>370</v>
      </c>
      <c r="U33" s="186" t="s">
        <v>583</v>
      </c>
    </row>
    <row r="34" spans="3:21" ht="15">
      <c r="C34" s="244" t="s">
        <v>400</v>
      </c>
      <c r="D34" s="244"/>
      <c r="E34" s="244"/>
      <c r="F34" s="244"/>
      <c r="G34" s="244"/>
      <c r="H34" s="244"/>
      <c r="J34" s="274"/>
      <c r="K34" s="186" t="s">
        <v>584</v>
      </c>
      <c r="M34" s="192" t="s">
        <v>597</v>
      </c>
      <c r="N34" s="193">
        <v>0.01</v>
      </c>
      <c r="O34" s="193">
        <v>0.03</v>
      </c>
      <c r="P34" s="193">
        <v>0.26</v>
      </c>
      <c r="Q34" s="193">
        <v>0.52</v>
      </c>
      <c r="R34" s="194">
        <v>0.18</v>
      </c>
      <c r="T34" s="274"/>
      <c r="U34" s="186" t="s">
        <v>584</v>
      </c>
    </row>
    <row r="35" spans="3:21" ht="15">
      <c r="C35" s="270" t="s">
        <v>401</v>
      </c>
      <c r="D35" s="270"/>
      <c r="E35" s="270"/>
      <c r="F35" s="270"/>
      <c r="G35" s="270"/>
      <c r="H35" s="270"/>
      <c r="J35" s="274" t="s">
        <v>585</v>
      </c>
      <c r="K35" s="186" t="s">
        <v>586</v>
      </c>
      <c r="M35" s="192" t="s">
        <v>598</v>
      </c>
      <c r="N35" s="193">
        <v>0.01</v>
      </c>
      <c r="O35" s="193">
        <v>0.02</v>
      </c>
      <c r="P35" s="193">
        <v>0.21</v>
      </c>
      <c r="Q35" s="193">
        <v>0.54</v>
      </c>
      <c r="R35" s="194">
        <v>0.23</v>
      </c>
      <c r="T35" s="274" t="s">
        <v>585</v>
      </c>
      <c r="U35" s="186" t="s">
        <v>586</v>
      </c>
    </row>
    <row r="36" spans="3:21" ht="16" thickBot="1">
      <c r="J36" s="274"/>
      <c r="K36" s="186" t="s">
        <v>587</v>
      </c>
      <c r="M36" s="195" t="s">
        <v>592</v>
      </c>
      <c r="N36" s="196">
        <v>0</v>
      </c>
      <c r="O36" s="196">
        <v>-0.01</v>
      </c>
      <c r="P36" s="196">
        <v>-0.05</v>
      </c>
      <c r="Q36" s="196">
        <v>0.01</v>
      </c>
      <c r="R36" s="197">
        <v>0.05</v>
      </c>
      <c r="T36" s="274"/>
      <c r="U36" s="186" t="s">
        <v>587</v>
      </c>
    </row>
    <row r="37" spans="3:21">
      <c r="J37" s="227" t="s">
        <v>588</v>
      </c>
      <c r="K37" s="275"/>
      <c r="M37" s="192" t="s">
        <v>393</v>
      </c>
      <c r="N37" s="193">
        <v>0.01</v>
      </c>
      <c r="O37" s="193">
        <v>0.03</v>
      </c>
      <c r="P37" s="193">
        <v>0.26</v>
      </c>
      <c r="Q37" s="193">
        <v>0.52</v>
      </c>
      <c r="R37" s="194">
        <v>0.18</v>
      </c>
      <c r="T37" s="227" t="s">
        <v>588</v>
      </c>
      <c r="U37" s="275"/>
    </row>
    <row r="38" spans="3:21" ht="15">
      <c r="J38" s="187" t="s">
        <v>589</v>
      </c>
      <c r="K38" s="188">
        <v>5.0999999999999997E-2</v>
      </c>
      <c r="M38" s="192" t="s">
        <v>370</v>
      </c>
      <c r="N38" s="193">
        <v>0.01</v>
      </c>
      <c r="O38" s="193">
        <v>0.02</v>
      </c>
      <c r="P38" s="193">
        <v>0.22</v>
      </c>
      <c r="Q38" s="193">
        <v>0.53</v>
      </c>
      <c r="R38" s="194">
        <v>0.22</v>
      </c>
      <c r="T38" s="187" t="s">
        <v>589</v>
      </c>
      <c r="U38" s="188">
        <v>5.0999999999999997E-2</v>
      </c>
    </row>
    <row r="39" spans="3:21" ht="16" thickBot="1">
      <c r="J39" s="189" t="s">
        <v>374</v>
      </c>
      <c r="K39" s="8">
        <v>758</v>
      </c>
      <c r="M39" s="195" t="s">
        <v>592</v>
      </c>
      <c r="N39" s="196">
        <v>0</v>
      </c>
      <c r="O39" s="196">
        <v>-0.01</v>
      </c>
      <c r="P39" s="196">
        <v>-0.04</v>
      </c>
      <c r="Q39" s="196">
        <v>0.01</v>
      </c>
      <c r="R39" s="197">
        <v>0.04</v>
      </c>
      <c r="T39" s="189" t="s">
        <v>374</v>
      </c>
      <c r="U39" s="8">
        <v>758</v>
      </c>
    </row>
    <row r="40" spans="3:21" ht="16" thickBot="1">
      <c r="J40" s="276" t="s">
        <v>590</v>
      </c>
      <c r="K40" s="277"/>
      <c r="M40" s="192" t="s">
        <v>599</v>
      </c>
      <c r="N40" s="193">
        <v>0.01</v>
      </c>
      <c r="O40" s="193">
        <v>0.02</v>
      </c>
      <c r="P40" s="193">
        <v>0.2</v>
      </c>
      <c r="Q40" s="193">
        <v>0.53</v>
      </c>
      <c r="R40" s="194">
        <v>0.24</v>
      </c>
      <c r="T40" s="276" t="s">
        <v>590</v>
      </c>
      <c r="U40" s="277"/>
    </row>
    <row r="41" spans="3:21" ht="16" thickBot="1">
      <c r="J41" s="271" t="s">
        <v>591</v>
      </c>
      <c r="K41" s="272"/>
      <c r="M41" s="192" t="s">
        <v>600</v>
      </c>
      <c r="N41" s="193">
        <v>0.01</v>
      </c>
      <c r="O41" s="193">
        <v>0.03</v>
      </c>
      <c r="P41" s="193">
        <v>0.26</v>
      </c>
      <c r="Q41" s="193">
        <v>0.52</v>
      </c>
      <c r="R41" s="194">
        <v>0.18</v>
      </c>
      <c r="T41" s="271" t="s">
        <v>591</v>
      </c>
      <c r="U41" s="272"/>
    </row>
    <row r="42" spans="3:21" ht="15" thickBot="1">
      <c r="M42" s="195" t="s">
        <v>592</v>
      </c>
      <c r="N42" s="196">
        <v>0</v>
      </c>
      <c r="O42" s="196">
        <v>0.01</v>
      </c>
      <c r="P42" s="196">
        <v>0.06</v>
      </c>
      <c r="Q42" s="196">
        <v>-0.01</v>
      </c>
      <c r="R42" s="197">
        <v>-0.06</v>
      </c>
    </row>
    <row r="43" spans="3:21" ht="15" thickBot="1">
      <c r="M43" s="278" t="s">
        <v>400</v>
      </c>
      <c r="N43" s="279"/>
      <c r="O43" s="279"/>
      <c r="P43" s="279"/>
      <c r="Q43" s="279"/>
      <c r="R43" s="280"/>
    </row>
    <row r="44" spans="3:21" ht="15" thickBot="1">
      <c r="M44" s="278" t="s">
        <v>401</v>
      </c>
      <c r="N44" s="279"/>
      <c r="O44" s="279"/>
      <c r="P44" s="279"/>
      <c r="Q44" s="279"/>
      <c r="R44" s="280"/>
    </row>
  </sheetData>
  <mergeCells count="48">
    <mergeCell ref="T40:U40"/>
    <mergeCell ref="T41:U41"/>
    <mergeCell ref="T25:T26"/>
    <mergeCell ref="T27:T28"/>
    <mergeCell ref="T29:T30"/>
    <mergeCell ref="T31:T32"/>
    <mergeCell ref="T33:T34"/>
    <mergeCell ref="T19:T20"/>
    <mergeCell ref="T21:T22"/>
    <mergeCell ref="T23:T24"/>
    <mergeCell ref="T35:T36"/>
    <mergeCell ref="T37:U37"/>
    <mergeCell ref="T9:T10"/>
    <mergeCell ref="T11:T12"/>
    <mergeCell ref="T13:T14"/>
    <mergeCell ref="T15:T16"/>
    <mergeCell ref="T17:T18"/>
    <mergeCell ref="M2:R2"/>
    <mergeCell ref="T2:U2"/>
    <mergeCell ref="T3:T4"/>
    <mergeCell ref="T5:T6"/>
    <mergeCell ref="T7:T8"/>
    <mergeCell ref="J37:K37"/>
    <mergeCell ref="J40:K40"/>
    <mergeCell ref="J41:K41"/>
    <mergeCell ref="M43:R43"/>
    <mergeCell ref="M44:R44"/>
    <mergeCell ref="J27:J28"/>
    <mergeCell ref="J29:J30"/>
    <mergeCell ref="J31:J32"/>
    <mergeCell ref="J33:J34"/>
    <mergeCell ref="J35:J36"/>
    <mergeCell ref="C2:H2"/>
    <mergeCell ref="C34:H34"/>
    <mergeCell ref="C35:H35"/>
    <mergeCell ref="J2:K2"/>
    <mergeCell ref="J3:J4"/>
    <mergeCell ref="J5:J6"/>
    <mergeCell ref="J7:J8"/>
    <mergeCell ref="J9:J10"/>
    <mergeCell ref="J11:J12"/>
    <mergeCell ref="J13:J14"/>
    <mergeCell ref="J15:J16"/>
    <mergeCell ref="J17:J18"/>
    <mergeCell ref="J19:J20"/>
    <mergeCell ref="J21:J22"/>
    <mergeCell ref="J23:J24"/>
    <mergeCell ref="J25:J26"/>
  </mergeCells>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L9"/>
  <sheetViews>
    <sheetView topLeftCell="N1" workbookViewId="0">
      <selection activeCell="N16" sqref="N16"/>
    </sheetView>
  </sheetViews>
  <sheetFormatPr baseColWidth="10" defaultRowHeight="14" x14ac:dyDescent="0"/>
  <cols>
    <col min="2" max="2" width="16.1640625" style="6" bestFit="1" customWidth="1"/>
    <col min="3" max="3" width="12" style="6" bestFit="1" customWidth="1"/>
    <col min="8" max="8" width="16.1640625" bestFit="1" customWidth="1"/>
    <col min="9" max="9" width="15.1640625" bestFit="1" customWidth="1"/>
    <col min="10" max="10" width="13.33203125" bestFit="1" customWidth="1"/>
    <col min="14" max="14" width="16.1640625" bestFit="1" customWidth="1"/>
    <col min="15" max="17" width="18.5" bestFit="1" customWidth="1"/>
    <col min="18" max="18" width="20.1640625" bestFit="1" customWidth="1"/>
    <col min="21" max="21" width="16.1640625" bestFit="1" customWidth="1"/>
    <col min="22" max="23" width="13.5" bestFit="1" customWidth="1"/>
    <col min="24" max="24" width="19" bestFit="1" customWidth="1"/>
    <col min="25" max="25" width="19.5" bestFit="1" customWidth="1"/>
    <col min="27" max="27" width="16.1640625" bestFit="1" customWidth="1"/>
    <col min="28" max="28" width="18.1640625" bestFit="1" customWidth="1"/>
    <col min="29" max="29" width="20.33203125" bestFit="1" customWidth="1"/>
    <col min="34" max="34" width="16.1640625" bestFit="1" customWidth="1"/>
    <col min="35" max="35" width="16.5" bestFit="1" customWidth="1"/>
    <col min="36" max="36" width="14" bestFit="1" customWidth="1"/>
    <col min="37" max="37" width="14.33203125" bestFit="1" customWidth="1"/>
    <col min="38" max="38" width="15.5" bestFit="1" customWidth="1"/>
    <col min="42" max="42" width="16.1640625" bestFit="1" customWidth="1"/>
    <col min="43" max="43" width="12.5" bestFit="1" customWidth="1"/>
    <col min="44" max="44" width="12.33203125" bestFit="1" customWidth="1"/>
    <col min="45" max="45" width="12" bestFit="1" customWidth="1"/>
    <col min="46" max="46" width="13" bestFit="1" customWidth="1"/>
    <col min="47" max="48" width="13" customWidth="1"/>
    <col min="49" max="49" width="16.1640625" bestFit="1" customWidth="1"/>
    <col min="50" max="50" width="18.5" bestFit="1" customWidth="1"/>
    <col min="51" max="51" width="19.6640625" bestFit="1" customWidth="1"/>
    <col min="52" max="53" width="13" customWidth="1"/>
    <col min="55" max="55" width="16.1640625" bestFit="1" customWidth="1"/>
    <col min="56" max="56" width="21" bestFit="1" customWidth="1"/>
    <col min="57" max="57" width="23" bestFit="1" customWidth="1"/>
    <col min="58" max="58" width="19.83203125" bestFit="1" customWidth="1"/>
    <col min="61" max="61" width="16.1640625" bestFit="1" customWidth="1"/>
    <col min="62" max="62" width="28" bestFit="1" customWidth="1"/>
    <col min="63" max="63" width="34.1640625" bestFit="1" customWidth="1"/>
    <col min="67" max="67" width="16.1640625" style="6" bestFit="1" customWidth="1"/>
    <col min="68" max="68" width="31.83203125" style="6" bestFit="1" customWidth="1"/>
    <col min="69" max="69" width="32.83203125" style="6" bestFit="1" customWidth="1"/>
    <col min="73" max="73" width="16.1640625" bestFit="1" customWidth="1"/>
    <col min="74" max="74" width="14.1640625" bestFit="1" customWidth="1"/>
    <col min="75" max="75" width="14.83203125" bestFit="1" customWidth="1"/>
    <col min="81" max="81" width="16.1640625" bestFit="1" customWidth="1"/>
    <col min="82" max="82" width="9.5" bestFit="1" customWidth="1"/>
    <col min="83" max="83" width="10.5" bestFit="1" customWidth="1"/>
    <col min="88" max="88" width="16.1640625" bestFit="1" customWidth="1"/>
    <col min="89" max="89" width="24" bestFit="1" customWidth="1"/>
    <col min="90" max="90" width="28.5" bestFit="1" customWidth="1"/>
  </cols>
  <sheetData>
    <row r="2" spans="2:90">
      <c r="H2" s="199"/>
      <c r="I2" s="199" t="s">
        <v>404</v>
      </c>
      <c r="J2" s="199" t="s">
        <v>405</v>
      </c>
      <c r="N2" s="199"/>
      <c r="O2" s="199" t="s">
        <v>406</v>
      </c>
      <c r="P2" s="199" t="s">
        <v>407</v>
      </c>
      <c r="Q2" s="199" t="s">
        <v>322</v>
      </c>
      <c r="R2" s="199" t="s">
        <v>408</v>
      </c>
      <c r="U2" s="199"/>
      <c r="V2" s="199" t="s">
        <v>409</v>
      </c>
      <c r="W2" s="199" t="s">
        <v>410</v>
      </c>
      <c r="X2" s="199" t="s">
        <v>411</v>
      </c>
      <c r="Y2" s="199" t="s">
        <v>412</v>
      </c>
      <c r="AA2" s="199"/>
      <c r="AB2" s="199" t="s">
        <v>413</v>
      </c>
      <c r="AC2" s="199" t="s">
        <v>414</v>
      </c>
      <c r="AH2" s="199"/>
      <c r="AI2" s="199" t="s">
        <v>523</v>
      </c>
      <c r="AJ2" s="199" t="s">
        <v>524</v>
      </c>
      <c r="AK2" s="199" t="s">
        <v>525</v>
      </c>
      <c r="AL2" s="199" t="s">
        <v>526</v>
      </c>
      <c r="AP2" s="199"/>
      <c r="AQ2" s="199" t="s">
        <v>527</v>
      </c>
      <c r="AR2" s="199" t="s">
        <v>528</v>
      </c>
      <c r="AS2" s="199" t="s">
        <v>529</v>
      </c>
      <c r="AT2" s="199" t="s">
        <v>530</v>
      </c>
      <c r="AU2" s="33"/>
      <c r="AV2" s="33"/>
      <c r="AW2" s="199"/>
      <c r="AX2" s="199" t="s">
        <v>605</v>
      </c>
      <c r="AY2" s="199" t="s">
        <v>606</v>
      </c>
      <c r="AZ2" s="33"/>
      <c r="BA2" s="33"/>
      <c r="BC2" s="170"/>
      <c r="BD2" s="170" t="s">
        <v>531</v>
      </c>
      <c r="BE2" s="170" t="s">
        <v>532</v>
      </c>
      <c r="BF2" s="170" t="s">
        <v>533</v>
      </c>
      <c r="BI2" s="199"/>
      <c r="BJ2" s="199" t="s">
        <v>534</v>
      </c>
      <c r="BK2" s="199" t="s">
        <v>535</v>
      </c>
      <c r="BO2" s="199"/>
      <c r="BP2" s="199" t="s">
        <v>536</v>
      </c>
      <c r="BQ2" s="199" t="s">
        <v>537</v>
      </c>
      <c r="BU2" s="199"/>
      <c r="BV2" s="199" t="s">
        <v>540</v>
      </c>
      <c r="BW2" s="199" t="s">
        <v>541</v>
      </c>
      <c r="CC2" s="170"/>
      <c r="CD2" s="170" t="s">
        <v>538</v>
      </c>
      <c r="CE2" s="170" t="s">
        <v>539</v>
      </c>
      <c r="CJ2" s="199"/>
      <c r="CK2" s="199" t="s">
        <v>602</v>
      </c>
      <c r="CL2" s="199" t="s">
        <v>604</v>
      </c>
    </row>
    <row r="3" spans="2:90">
      <c r="B3" s="170" t="s">
        <v>402</v>
      </c>
      <c r="C3" s="199">
        <v>2.4056141969090876</v>
      </c>
      <c r="H3" s="199" t="s">
        <v>402</v>
      </c>
      <c r="I3" s="199">
        <v>3.0852994555353903</v>
      </c>
      <c r="J3" s="199">
        <v>1.8450184501845019</v>
      </c>
      <c r="N3" s="199" t="s">
        <v>402</v>
      </c>
      <c r="O3" s="199">
        <v>1.3745704467353952</v>
      </c>
      <c r="P3" s="199">
        <v>2.9498525073746311</v>
      </c>
      <c r="Q3" s="199">
        <v>2.5362318840579712</v>
      </c>
      <c r="R3" s="199">
        <v>2.6595744680851063</v>
      </c>
      <c r="U3" s="199" t="s">
        <v>402</v>
      </c>
      <c r="V3" s="199">
        <v>2.2857142857142856</v>
      </c>
      <c r="W3" s="199">
        <v>2.4621212121212119</v>
      </c>
      <c r="X3" s="199">
        <v>2.7932960893854748</v>
      </c>
      <c r="Y3" s="199">
        <v>2.4271844660194173</v>
      </c>
      <c r="AA3" s="199" t="s">
        <v>402</v>
      </c>
      <c r="AB3" s="199">
        <v>2.4248302618816679</v>
      </c>
      <c r="AC3" s="199">
        <v>3.1746031746031744</v>
      </c>
      <c r="AH3" s="199" t="s">
        <v>402</v>
      </c>
      <c r="AI3" s="199">
        <v>0</v>
      </c>
      <c r="AJ3" s="199">
        <v>0.94696969696969702</v>
      </c>
      <c r="AK3" s="199">
        <v>3.9603960396039604</v>
      </c>
      <c r="AL3" s="199">
        <v>5.666666666666667</v>
      </c>
      <c r="AP3" s="199" t="s">
        <v>402</v>
      </c>
      <c r="AQ3" s="199">
        <v>3.9911308203991127</v>
      </c>
      <c r="AR3" s="199">
        <v>1.5151515151515151</v>
      </c>
      <c r="AS3" s="199">
        <v>0.9569377990430622</v>
      </c>
      <c r="AT3" s="199">
        <v>1.9801980198019802</v>
      </c>
      <c r="AU3" s="33"/>
      <c r="AV3" s="33"/>
      <c r="AW3" s="199" t="s">
        <v>402</v>
      </c>
      <c r="AX3" s="199">
        <v>1.2295081967213115</v>
      </c>
      <c r="AY3" s="199">
        <v>2.7295285359801489</v>
      </c>
      <c r="AZ3" s="33"/>
      <c r="BA3" s="33"/>
      <c r="BC3" s="170" t="s">
        <v>402</v>
      </c>
      <c r="BD3" s="201">
        <v>3.3639143730886851</v>
      </c>
      <c r="BE3" s="201">
        <v>1.0498687664041995</v>
      </c>
      <c r="BF3" s="201">
        <v>0</v>
      </c>
      <c r="BI3" s="199" t="s">
        <v>402</v>
      </c>
      <c r="BJ3" s="199">
        <v>3.1847133757961785</v>
      </c>
      <c r="BK3" s="199">
        <v>1.6638935108153079</v>
      </c>
      <c r="BM3">
        <v>43.936567164179102</v>
      </c>
      <c r="BO3" s="199" t="s">
        <v>402</v>
      </c>
      <c r="BP3" s="199">
        <v>3.6011080332409975</v>
      </c>
      <c r="BQ3" s="199">
        <v>1.6641452344931922</v>
      </c>
      <c r="BS3">
        <v>35.322896281800389</v>
      </c>
      <c r="BU3" s="199" t="s">
        <v>402</v>
      </c>
      <c r="BV3" s="199">
        <v>1.8739352640545144</v>
      </c>
      <c r="BW3" s="199">
        <v>2.7881040892193307</v>
      </c>
      <c r="CC3" s="170" t="s">
        <v>402</v>
      </c>
      <c r="CD3" s="199">
        <v>1.5483870967741935</v>
      </c>
      <c r="CE3" s="199">
        <v>4.6296296296296298</v>
      </c>
      <c r="CJ3" s="199" t="s">
        <v>402</v>
      </c>
      <c r="CK3" s="199">
        <v>4.4982698961937713</v>
      </c>
      <c r="CL3" s="199">
        <v>1.3333333333333333</v>
      </c>
    </row>
    <row r="4" spans="2:90">
      <c r="B4" s="170">
        <v>2</v>
      </c>
      <c r="C4" s="199">
        <v>0.88911011529379558</v>
      </c>
      <c r="H4" s="199">
        <v>2</v>
      </c>
      <c r="I4" s="199">
        <v>0.90744101633393826</v>
      </c>
      <c r="J4" s="199">
        <v>0.92250922509225097</v>
      </c>
      <c r="N4" s="199">
        <v>2</v>
      </c>
      <c r="O4" s="199">
        <v>0</v>
      </c>
      <c r="P4" s="199">
        <v>0.88495575221238942</v>
      </c>
      <c r="Q4" s="199">
        <v>1.4492753623188406</v>
      </c>
      <c r="R4" s="199">
        <v>1.5957446808510638</v>
      </c>
      <c r="U4" s="199">
        <v>2</v>
      </c>
      <c r="V4" s="199">
        <v>1.1428571428571428</v>
      </c>
      <c r="W4" s="199">
        <v>0.94696969696969702</v>
      </c>
      <c r="X4" s="199">
        <v>1.1173184357541899</v>
      </c>
      <c r="Y4" s="199">
        <v>0.48543689320388345</v>
      </c>
      <c r="AA4" s="199">
        <v>2</v>
      </c>
      <c r="AB4" s="199">
        <v>0.96993210475266745</v>
      </c>
      <c r="AC4" s="199">
        <v>0</v>
      </c>
      <c r="AH4" s="199">
        <v>2</v>
      </c>
      <c r="AI4" s="199">
        <v>1.2195121951219512</v>
      </c>
      <c r="AJ4" s="199">
        <v>1.3257575757575757</v>
      </c>
      <c r="AK4" s="199">
        <v>0.99009900990099009</v>
      </c>
      <c r="AL4" s="199">
        <v>0.33333333333333331</v>
      </c>
      <c r="AP4" s="199">
        <v>2</v>
      </c>
      <c r="AQ4" s="199">
        <v>0.66518847006651882</v>
      </c>
      <c r="AR4" s="199">
        <v>1.5151515151515151</v>
      </c>
      <c r="AS4" s="199">
        <v>0.4784688995215311</v>
      </c>
      <c r="AT4" s="199">
        <v>0.99009900990099009</v>
      </c>
      <c r="AU4" s="33"/>
      <c r="AV4" s="33"/>
      <c r="AW4" s="199">
        <v>2</v>
      </c>
      <c r="AX4" s="199">
        <v>2.0491803278688523</v>
      </c>
      <c r="AY4" s="199">
        <v>0.62034739454094301</v>
      </c>
      <c r="AZ4" s="33"/>
      <c r="BA4" s="33"/>
      <c r="BC4" s="170">
        <v>2</v>
      </c>
      <c r="BD4" s="201">
        <v>0.91743119266055051</v>
      </c>
      <c r="BE4" s="201">
        <v>1.0498687664041995</v>
      </c>
      <c r="BF4" s="201">
        <v>0</v>
      </c>
      <c r="BI4" s="199">
        <v>2</v>
      </c>
      <c r="BJ4" s="199">
        <v>0.63694267515923564</v>
      </c>
      <c r="BK4" s="199">
        <v>0.99833610648918469</v>
      </c>
      <c r="BM4">
        <v>56.063432835820898</v>
      </c>
      <c r="BO4" s="199">
        <v>2</v>
      </c>
      <c r="BP4" s="199">
        <v>0.8310249307479225</v>
      </c>
      <c r="BQ4" s="199">
        <v>0.90771558245083206</v>
      </c>
      <c r="BS4">
        <v>64.677103718199604</v>
      </c>
      <c r="BU4" s="202">
        <v>2</v>
      </c>
      <c r="BV4" s="199">
        <v>1.192504258943782</v>
      </c>
      <c r="BW4" s="199">
        <v>0.55762081784386619</v>
      </c>
      <c r="CC4" s="170">
        <v>2</v>
      </c>
      <c r="CD4" s="199">
        <v>0.77419354838709675</v>
      </c>
      <c r="CE4" s="199">
        <v>1.3888888888888888</v>
      </c>
      <c r="CJ4" s="199" t="s">
        <v>453</v>
      </c>
      <c r="CK4" s="199">
        <v>1.7301038062283738</v>
      </c>
      <c r="CL4" s="199">
        <v>0.44444444444444442</v>
      </c>
    </row>
    <row r="5" spans="2:90">
      <c r="B5" s="170">
        <v>3</v>
      </c>
      <c r="C5" s="199">
        <v>4.0880919938047731</v>
      </c>
      <c r="H5" s="199">
        <v>3</v>
      </c>
      <c r="I5" s="199">
        <v>3.9927404718693285</v>
      </c>
      <c r="J5" s="199">
        <v>4.0590405904059041</v>
      </c>
      <c r="N5" s="199">
        <v>3</v>
      </c>
      <c r="O5" s="199">
        <v>4.1237113402061851</v>
      </c>
      <c r="P5" s="199">
        <v>3.8348082595870205</v>
      </c>
      <c r="Q5" s="199">
        <v>4.3478260869565215</v>
      </c>
      <c r="R5" s="199">
        <v>4.2553191489361701</v>
      </c>
      <c r="U5" s="199">
        <v>3</v>
      </c>
      <c r="V5" s="199">
        <v>4.5714285714285712</v>
      </c>
      <c r="W5" s="199">
        <v>3.5984848484848486</v>
      </c>
      <c r="X5" s="199">
        <v>6.1452513966480442</v>
      </c>
      <c r="Y5" s="199">
        <v>2.912621359223301</v>
      </c>
      <c r="AA5" s="199">
        <v>3</v>
      </c>
      <c r="AB5" s="199">
        <v>4.1707080504364695</v>
      </c>
      <c r="AC5" s="199">
        <v>1.5873015873015872</v>
      </c>
      <c r="AH5" s="199">
        <v>3</v>
      </c>
      <c r="AI5" s="199">
        <v>3.0487804878048781</v>
      </c>
      <c r="AJ5" s="199">
        <v>5.1136363636363642</v>
      </c>
      <c r="AK5" s="199">
        <v>5.9405940594059405</v>
      </c>
      <c r="AL5" s="199">
        <v>1.6666666666666667</v>
      </c>
      <c r="AP5" s="199">
        <v>3</v>
      </c>
      <c r="AQ5" s="199">
        <v>3.9911308203991127</v>
      </c>
      <c r="AR5" s="199">
        <v>3.3333333333333335</v>
      </c>
      <c r="AS5" s="199">
        <v>6.6985645933014357</v>
      </c>
      <c r="AT5" s="199">
        <v>1.9801980198019802</v>
      </c>
      <c r="AU5" s="33"/>
      <c r="AV5" s="33"/>
      <c r="AW5" s="199">
        <v>3</v>
      </c>
      <c r="AX5" s="199">
        <v>3.278688524590164</v>
      </c>
      <c r="AY5" s="199">
        <v>4.5905707196029777</v>
      </c>
      <c r="AZ5" s="33"/>
      <c r="BA5" s="33"/>
      <c r="BC5" s="170">
        <v>3</v>
      </c>
      <c r="BD5" s="201">
        <v>2.7522935779816513</v>
      </c>
      <c r="BE5" s="201">
        <v>5.2493438320209975</v>
      </c>
      <c r="BF5" s="201">
        <v>9.67741935483871</v>
      </c>
      <c r="BI5" s="199">
        <v>3</v>
      </c>
      <c r="BJ5" s="199">
        <v>2.5477707006369426</v>
      </c>
      <c r="BK5" s="199">
        <v>5.3244592346089847</v>
      </c>
      <c r="BO5" s="199">
        <v>3</v>
      </c>
      <c r="BP5" s="199">
        <v>2.21606648199446</v>
      </c>
      <c r="BQ5" s="199">
        <v>5.2950075642965198</v>
      </c>
      <c r="BU5" s="202">
        <v>3</v>
      </c>
      <c r="BV5" s="199">
        <v>5.1107325383304945</v>
      </c>
      <c r="BW5" s="199">
        <v>2.7881040892193307</v>
      </c>
      <c r="CC5" s="170">
        <v>3</v>
      </c>
      <c r="CD5" s="199">
        <v>4.5161290322580649</v>
      </c>
      <c r="CE5" s="199">
        <v>3.7037037037037037</v>
      </c>
      <c r="CJ5" s="199" t="s">
        <v>454</v>
      </c>
      <c r="CK5" s="199">
        <v>5.1903114186851207</v>
      </c>
      <c r="CL5" s="199">
        <v>3.7037037037037037</v>
      </c>
    </row>
    <row r="6" spans="2:90">
      <c r="B6" s="170">
        <v>4</v>
      </c>
      <c r="C6" s="199">
        <v>14.154617720927664</v>
      </c>
      <c r="H6" s="199">
        <v>4</v>
      </c>
      <c r="I6" s="199">
        <v>12.159709618874773</v>
      </c>
      <c r="J6" s="199">
        <v>16.051660516605168</v>
      </c>
      <c r="N6" s="199">
        <v>4</v>
      </c>
      <c r="O6" s="199">
        <v>14.776632302405499</v>
      </c>
      <c r="P6" s="199">
        <v>17.10914454277286</v>
      </c>
      <c r="Q6" s="199">
        <v>11.956521739130435</v>
      </c>
      <c r="R6" s="199">
        <v>10.638297872340425</v>
      </c>
      <c r="U6" s="199">
        <v>4</v>
      </c>
      <c r="V6" s="199">
        <v>14.857142857142858</v>
      </c>
      <c r="W6" s="199">
        <v>15.151515151515152</v>
      </c>
      <c r="X6" s="199">
        <v>13.966480446927374</v>
      </c>
      <c r="Y6" s="199">
        <v>11.165048543689322</v>
      </c>
      <c r="AA6" s="199">
        <v>4</v>
      </c>
      <c r="AB6" s="199">
        <v>14.161008729388943</v>
      </c>
      <c r="AC6" s="199">
        <v>12.698412698412698</v>
      </c>
      <c r="AH6" s="199">
        <v>4</v>
      </c>
      <c r="AI6" s="199">
        <v>9.7560975609756095</v>
      </c>
      <c r="AJ6" s="199">
        <v>17.424242424242426</v>
      </c>
      <c r="AK6" s="199">
        <v>10.891089108910892</v>
      </c>
      <c r="AL6" s="199">
        <v>11.666666666666666</v>
      </c>
      <c r="AP6" s="199">
        <v>4</v>
      </c>
      <c r="AQ6" s="199">
        <v>12.195121951219512</v>
      </c>
      <c r="AR6" s="199">
        <v>16.666666666666664</v>
      </c>
      <c r="AS6" s="199">
        <v>15.789473684210526</v>
      </c>
      <c r="AT6" s="199">
        <v>9.9009900990099009</v>
      </c>
      <c r="AU6" s="33"/>
      <c r="AV6" s="33"/>
      <c r="AW6" s="199">
        <v>4</v>
      </c>
      <c r="AX6" s="199">
        <v>12.295081967213115</v>
      </c>
      <c r="AY6" s="199">
        <v>15.012406947890819</v>
      </c>
      <c r="AZ6" s="33"/>
      <c r="BA6" s="33"/>
      <c r="BC6" s="170">
        <v>4</v>
      </c>
      <c r="BD6" s="201">
        <v>13.608562691131498</v>
      </c>
      <c r="BE6" s="201">
        <v>13.910761154855644</v>
      </c>
      <c r="BF6" s="201">
        <v>16.129032258064516</v>
      </c>
      <c r="BI6" s="199">
        <v>4</v>
      </c>
      <c r="BJ6" s="199">
        <v>12.526539278131635</v>
      </c>
      <c r="BK6" s="199">
        <v>15.307820299500833</v>
      </c>
      <c r="BO6" s="199">
        <v>4</v>
      </c>
      <c r="BP6" s="199">
        <v>14.40443213296399</v>
      </c>
      <c r="BQ6" s="199">
        <v>14.069591527987896</v>
      </c>
      <c r="BU6" s="202">
        <v>4</v>
      </c>
      <c r="BV6" s="199">
        <v>13.287904599659285</v>
      </c>
      <c r="BW6" s="199">
        <v>11.895910780669144</v>
      </c>
      <c r="CC6" s="170">
        <v>4</v>
      </c>
      <c r="CD6" s="199">
        <v>13.03225806451613</v>
      </c>
      <c r="CE6" s="199">
        <v>18.518518518518519</v>
      </c>
      <c r="CJ6" s="199" t="s">
        <v>455</v>
      </c>
      <c r="CK6" s="199">
        <v>19.031141868512112</v>
      </c>
      <c r="CL6" s="199">
        <v>12</v>
      </c>
    </row>
    <row r="7" spans="2:90">
      <c r="B7" s="170">
        <v>5</v>
      </c>
      <c r="C7" s="199">
        <v>24.354255758441958</v>
      </c>
      <c r="H7" s="199">
        <v>5</v>
      </c>
      <c r="I7" s="199">
        <v>24.319419237749546</v>
      </c>
      <c r="J7" s="199">
        <v>24.354243542435423</v>
      </c>
      <c r="N7" s="199">
        <v>5</v>
      </c>
      <c r="O7" s="199">
        <v>20.274914089347078</v>
      </c>
      <c r="P7" s="199">
        <v>23.008849557522122</v>
      </c>
      <c r="Q7" s="199">
        <v>26.086956521739129</v>
      </c>
      <c r="R7" s="199">
        <v>30.851063829787233</v>
      </c>
      <c r="U7" s="199">
        <v>5</v>
      </c>
      <c r="V7" s="199">
        <v>28.000000000000004</v>
      </c>
      <c r="W7" s="199">
        <v>25.189393939393938</v>
      </c>
      <c r="X7" s="199">
        <v>23.463687150837988</v>
      </c>
      <c r="Y7" s="199">
        <v>19.902912621359224</v>
      </c>
      <c r="AA7" s="199">
        <v>5</v>
      </c>
      <c r="AB7" s="199">
        <v>24.636275460717748</v>
      </c>
      <c r="AC7" s="199">
        <v>20.634920634920633</v>
      </c>
      <c r="AH7" s="199">
        <v>5</v>
      </c>
      <c r="AI7" s="199">
        <v>23.780487804878049</v>
      </c>
      <c r="AJ7" s="199">
        <v>21.780303030303031</v>
      </c>
      <c r="AK7" s="199">
        <v>23.762376237623762</v>
      </c>
      <c r="AL7" s="199">
        <v>29.666666666666668</v>
      </c>
      <c r="AP7" s="199">
        <v>5</v>
      </c>
      <c r="AQ7" s="199">
        <v>23.725055432372503</v>
      </c>
      <c r="AR7" s="199">
        <v>25.757575757575758</v>
      </c>
      <c r="AS7" s="199">
        <v>24.880382775119617</v>
      </c>
      <c r="AT7" s="199">
        <v>19.801980198019802</v>
      </c>
      <c r="AU7" s="33"/>
      <c r="AV7" s="33"/>
      <c r="AW7" s="199">
        <v>5</v>
      </c>
      <c r="AX7" s="199">
        <v>15.573770491803279</v>
      </c>
      <c r="AY7" s="199">
        <v>26.674937965260547</v>
      </c>
      <c r="AZ7" s="33"/>
      <c r="BA7" s="33"/>
      <c r="BC7" s="170">
        <v>5</v>
      </c>
      <c r="BD7" s="201">
        <v>21.865443425076453</v>
      </c>
      <c r="BE7" s="201">
        <v>28.346456692913385</v>
      </c>
      <c r="BF7" s="201">
        <v>32.258064516129032</v>
      </c>
      <c r="BI7" s="199">
        <v>5</v>
      </c>
      <c r="BJ7" s="199">
        <v>24.203821656050955</v>
      </c>
      <c r="BK7" s="199">
        <v>24.625623960066555</v>
      </c>
      <c r="BO7" s="199">
        <v>5</v>
      </c>
      <c r="BP7" s="199">
        <v>24.37673130193906</v>
      </c>
      <c r="BQ7" s="199">
        <v>23.29803328290469</v>
      </c>
      <c r="BU7" s="202">
        <v>5</v>
      </c>
      <c r="BV7" s="199">
        <v>25.894378194207835</v>
      </c>
      <c r="BW7" s="199">
        <v>20.817843866171003</v>
      </c>
      <c r="BX7" s="12"/>
      <c r="CC7" s="170">
        <v>5</v>
      </c>
      <c r="CD7" s="199">
        <v>26.322580645161292</v>
      </c>
      <c r="CE7" s="199">
        <v>18.981481481481481</v>
      </c>
      <c r="CJ7" s="199" t="s">
        <v>456</v>
      </c>
      <c r="CK7" s="199">
        <v>21.453287197231834</v>
      </c>
      <c r="CL7" s="199">
        <v>26.222222222222221</v>
      </c>
    </row>
    <row r="8" spans="2:90">
      <c r="B8" s="170">
        <v>6</v>
      </c>
      <c r="C8" s="199">
        <v>25.981918250221696</v>
      </c>
      <c r="H8" s="199">
        <v>6</v>
      </c>
      <c r="I8" s="199">
        <v>25.045372050816695</v>
      </c>
      <c r="J8" s="199">
        <v>26.937269372693727</v>
      </c>
      <c r="N8" s="199">
        <v>6</v>
      </c>
      <c r="O8" s="199">
        <v>31.27147766323024</v>
      </c>
      <c r="P8" s="199">
        <v>24.188790560471976</v>
      </c>
      <c r="Q8" s="199">
        <v>23.913043478260871</v>
      </c>
      <c r="R8" s="199">
        <v>23.936170212765958</v>
      </c>
      <c r="U8" s="199">
        <v>6</v>
      </c>
      <c r="V8" s="199">
        <v>24.571428571428573</v>
      </c>
      <c r="W8" s="199">
        <v>22.916666666666664</v>
      </c>
      <c r="X8" s="199">
        <v>29.608938547486037</v>
      </c>
      <c r="Y8" s="199">
        <v>31.067961165048541</v>
      </c>
      <c r="AA8" s="199">
        <v>6</v>
      </c>
      <c r="AB8" s="199">
        <v>26.091173617846753</v>
      </c>
      <c r="AC8" s="199">
        <v>23.809523809523807</v>
      </c>
      <c r="AH8" s="199">
        <v>6</v>
      </c>
      <c r="AI8" s="199">
        <v>18.902439024390244</v>
      </c>
      <c r="AJ8" s="199">
        <v>26.893939393939391</v>
      </c>
      <c r="AK8" s="199">
        <v>31.683168316831683</v>
      </c>
      <c r="AL8" s="199">
        <v>26.333333333333332</v>
      </c>
      <c r="AP8" s="199">
        <v>6</v>
      </c>
      <c r="AQ8" s="199">
        <v>25.055432372505543</v>
      </c>
      <c r="AR8" s="199">
        <v>26.666666666666668</v>
      </c>
      <c r="AS8" s="199">
        <v>28.708133971291865</v>
      </c>
      <c r="AT8" s="199">
        <v>21.782178217821784</v>
      </c>
      <c r="AU8" s="33"/>
      <c r="AV8" s="33"/>
      <c r="AW8" s="199">
        <v>6</v>
      </c>
      <c r="AX8" s="199">
        <v>31.967213114754102</v>
      </c>
      <c r="AY8" s="199">
        <v>24.565756823821339</v>
      </c>
      <c r="AZ8" s="33"/>
      <c r="BA8" s="33"/>
      <c r="BC8" s="170">
        <v>6</v>
      </c>
      <c r="BD8" s="201">
        <v>22.782874617737004</v>
      </c>
      <c r="BE8" s="201">
        <v>31.233595800524935</v>
      </c>
      <c r="BF8" s="201">
        <v>32.258064516129032</v>
      </c>
      <c r="BI8" s="199">
        <v>6</v>
      </c>
      <c r="BJ8" s="199">
        <v>24.203821656050955</v>
      </c>
      <c r="BK8" s="199">
        <v>27.787021630615641</v>
      </c>
      <c r="BO8" s="199">
        <v>6</v>
      </c>
      <c r="BP8" s="199">
        <v>24.930747922437675</v>
      </c>
      <c r="BQ8" s="199">
        <v>26.021180030257185</v>
      </c>
      <c r="BU8" s="202">
        <v>6</v>
      </c>
      <c r="BV8" s="199">
        <v>26.405451448040886</v>
      </c>
      <c r="BW8" s="199">
        <v>23.42007434944238</v>
      </c>
      <c r="CC8" s="170">
        <v>6</v>
      </c>
      <c r="CD8" s="199">
        <v>27.225806451612904</v>
      </c>
      <c r="CE8" s="199">
        <v>22.222222222222221</v>
      </c>
      <c r="CJ8" s="199" t="s">
        <v>457</v>
      </c>
      <c r="CK8" s="199">
        <v>21.79930795847751</v>
      </c>
      <c r="CL8" s="199">
        <v>28.74074074074074</v>
      </c>
    </row>
    <row r="9" spans="2:90">
      <c r="B9" s="170" t="s">
        <v>403</v>
      </c>
      <c r="C9" s="199">
        <v>28.126391964401019</v>
      </c>
      <c r="H9" s="199" t="s">
        <v>403</v>
      </c>
      <c r="I9" s="199">
        <v>30.490018148820326</v>
      </c>
      <c r="J9" s="199">
        <v>25.830258302583026</v>
      </c>
      <c r="N9" s="199" t="s">
        <v>403</v>
      </c>
      <c r="O9" s="199">
        <v>28.178694158075601</v>
      </c>
      <c r="P9" s="199">
        <v>28.023598820058996</v>
      </c>
      <c r="Q9" s="199">
        <v>29.710144927536231</v>
      </c>
      <c r="R9" s="199">
        <v>26.063829787234045</v>
      </c>
      <c r="U9" s="199" t="s">
        <v>403</v>
      </c>
      <c r="V9" s="199">
        <v>24.571428571428573</v>
      </c>
      <c r="W9" s="199">
        <v>29.734848484848484</v>
      </c>
      <c r="X9" s="199">
        <v>22.905027932960895</v>
      </c>
      <c r="Y9" s="199">
        <v>32.038834951456316</v>
      </c>
      <c r="AA9" s="199" t="s">
        <v>403</v>
      </c>
      <c r="AB9" s="199">
        <v>27.546071774975751</v>
      </c>
      <c r="AC9" s="199">
        <v>38.095238095238095</v>
      </c>
      <c r="AH9" s="199" t="s">
        <v>403</v>
      </c>
      <c r="AI9" s="199">
        <v>43.292682926829265</v>
      </c>
      <c r="AJ9" s="199">
        <v>26.515151515151516</v>
      </c>
      <c r="AK9" s="199">
        <v>22.772277227722775</v>
      </c>
      <c r="AL9" s="199">
        <v>24.666666666666668</v>
      </c>
      <c r="AP9" s="199" t="s">
        <v>403</v>
      </c>
      <c r="AQ9" s="199">
        <v>30.376940133037696</v>
      </c>
      <c r="AR9" s="199">
        <v>24.545454545454547</v>
      </c>
      <c r="AS9" s="199">
        <v>22.488038277511961</v>
      </c>
      <c r="AT9" s="199">
        <v>43.564356435643568</v>
      </c>
      <c r="AU9" s="33"/>
      <c r="AV9" s="33"/>
      <c r="AW9" s="199" t="s">
        <v>403</v>
      </c>
      <c r="AX9" s="199">
        <v>33.606557377049178</v>
      </c>
      <c r="AY9" s="199">
        <v>25.806451612903224</v>
      </c>
      <c r="AZ9" s="33"/>
      <c r="BA9" s="33"/>
      <c r="BC9" s="170" t="s">
        <v>403</v>
      </c>
      <c r="BD9" s="201">
        <v>34.709480122324159</v>
      </c>
      <c r="BE9" s="201">
        <v>19.16010498687664</v>
      </c>
      <c r="BF9" s="201">
        <v>9.67741935483871</v>
      </c>
      <c r="BI9" s="199" t="s">
        <v>403</v>
      </c>
      <c r="BJ9" s="199">
        <v>32.696390658174096</v>
      </c>
      <c r="BK9" s="199">
        <v>24.292845257903494</v>
      </c>
      <c r="BO9" s="199" t="s">
        <v>403</v>
      </c>
      <c r="BP9" s="199">
        <v>29.639889196675899</v>
      </c>
      <c r="BQ9" s="199">
        <v>28.744326777609679</v>
      </c>
      <c r="BU9" s="202" t="s">
        <v>403</v>
      </c>
      <c r="BV9" s="199">
        <v>26.235093696763204</v>
      </c>
      <c r="BW9" s="199">
        <v>27.881040892193308</v>
      </c>
      <c r="CC9" s="170" t="s">
        <v>403</v>
      </c>
      <c r="CD9" s="199">
        <v>26.580645161290324</v>
      </c>
      <c r="CE9" s="199">
        <v>30.555555555555557</v>
      </c>
      <c r="CJ9" s="199" t="s">
        <v>403</v>
      </c>
      <c r="CK9" s="199">
        <v>26.297577854671282</v>
      </c>
      <c r="CL9" s="199">
        <v>27.555555555555557</v>
      </c>
    </row>
  </sheetData>
  <pageMargins left="0.7" right="0.7" top="0.75" bottom="0.75" header="0.3" footer="0.3"/>
  <drawing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X36"/>
  <sheetViews>
    <sheetView topLeftCell="A19" workbookViewId="0">
      <selection activeCell="G32" sqref="G32"/>
    </sheetView>
  </sheetViews>
  <sheetFormatPr baseColWidth="10" defaultRowHeight="14" x14ac:dyDescent="0"/>
  <sheetData>
    <row r="1" spans="2:50" ht="15" thickBot="1">
      <c r="B1" s="287" t="s">
        <v>423</v>
      </c>
      <c r="C1" s="287"/>
      <c r="D1" s="287"/>
      <c r="F1" s="287" t="s">
        <v>429</v>
      </c>
      <c r="G1" s="287"/>
      <c r="H1" s="287"/>
      <c r="I1" s="287"/>
      <c r="J1" s="287"/>
      <c r="K1" s="287"/>
      <c r="L1" s="287"/>
      <c r="M1" s="287"/>
      <c r="N1" s="287"/>
      <c r="P1" s="287" t="s">
        <v>415</v>
      </c>
      <c r="Q1" s="287"/>
      <c r="R1" s="287"/>
      <c r="T1" s="287" t="s">
        <v>446</v>
      </c>
      <c r="U1" s="287"/>
      <c r="V1" s="287"/>
      <c r="W1" s="287"/>
      <c r="X1" s="287"/>
      <c r="Y1" s="287"/>
      <c r="Z1" s="287"/>
      <c r="AA1" s="287"/>
      <c r="AB1" s="287"/>
      <c r="AC1" s="287"/>
      <c r="AD1" s="83"/>
      <c r="AN1" s="287" t="s">
        <v>463</v>
      </c>
      <c r="AO1" s="287"/>
      <c r="AP1" s="287"/>
      <c r="AR1" s="287" t="s">
        <v>515</v>
      </c>
      <c r="AS1" s="287"/>
      <c r="AT1" s="287"/>
      <c r="AV1" s="287" t="s">
        <v>516</v>
      </c>
      <c r="AW1" s="287"/>
      <c r="AX1" s="287"/>
    </row>
    <row r="2" spans="2:50" ht="16" thickTop="1" thickBot="1">
      <c r="B2" s="302" t="s">
        <v>424</v>
      </c>
      <c r="C2" s="308"/>
      <c r="D2" s="41">
        <v>0.77293056051780884</v>
      </c>
      <c r="F2" s="300" t="s">
        <v>354</v>
      </c>
      <c r="G2" s="301"/>
      <c r="H2" s="60" t="s">
        <v>497</v>
      </c>
      <c r="I2" s="61" t="s">
        <v>498</v>
      </c>
      <c r="J2" s="61" t="s">
        <v>499</v>
      </c>
      <c r="K2" s="61" t="s">
        <v>500</v>
      </c>
      <c r="L2" s="61" t="s">
        <v>501</v>
      </c>
      <c r="M2" s="61" t="s">
        <v>502</v>
      </c>
      <c r="N2" s="62" t="s">
        <v>503</v>
      </c>
      <c r="P2" s="288" t="s">
        <v>354</v>
      </c>
      <c r="Q2" s="60" t="s">
        <v>416</v>
      </c>
      <c r="R2" s="62" t="s">
        <v>417</v>
      </c>
      <c r="T2" s="303" t="s">
        <v>447</v>
      </c>
      <c r="U2" s="305" t="s">
        <v>448</v>
      </c>
      <c r="V2" s="307"/>
      <c r="W2" s="307"/>
      <c r="X2" s="307" t="s">
        <v>449</v>
      </c>
      <c r="Y2" s="307"/>
      <c r="Z2" s="307"/>
      <c r="AA2" s="307" t="s">
        <v>511</v>
      </c>
      <c r="AB2" s="307"/>
      <c r="AC2" s="306"/>
      <c r="AD2" s="83"/>
      <c r="AN2" s="303" t="s">
        <v>354</v>
      </c>
      <c r="AO2" s="305" t="s">
        <v>447</v>
      </c>
      <c r="AP2" s="306"/>
      <c r="AR2" s="303" t="s">
        <v>354</v>
      </c>
      <c r="AS2" s="305" t="s">
        <v>447</v>
      </c>
      <c r="AT2" s="306"/>
      <c r="AV2" s="288" t="s">
        <v>447</v>
      </c>
      <c r="AW2" s="60" t="s">
        <v>452</v>
      </c>
      <c r="AX2" s="62" t="s">
        <v>453</v>
      </c>
    </row>
    <row r="3" spans="2:50" ht="16" thickTop="1" thickBot="1">
      <c r="B3" s="285" t="s">
        <v>425</v>
      </c>
      <c r="C3" s="47" t="s">
        <v>426</v>
      </c>
      <c r="D3" s="43">
        <v>2594.9864114920947</v>
      </c>
      <c r="F3" s="302" t="s">
        <v>435</v>
      </c>
      <c r="G3" s="63" t="s">
        <v>497</v>
      </c>
      <c r="H3" s="49">
        <v>0.74822570581240833</v>
      </c>
      <c r="I3" s="50">
        <v>-0.16062224726808769</v>
      </c>
      <c r="J3" s="50">
        <v>1.9879778984546292E-2</v>
      </c>
      <c r="K3" s="50">
        <v>-5.4617094639218211E-2</v>
      </c>
      <c r="L3" s="50">
        <v>-5.2071171976726359E-2</v>
      </c>
      <c r="M3" s="50">
        <v>-7.6079277241327584E-2</v>
      </c>
      <c r="N3" s="51">
        <v>-4.8409352288002847E-2</v>
      </c>
      <c r="P3" s="68" t="s">
        <v>497</v>
      </c>
      <c r="Q3" s="64">
        <v>1</v>
      </c>
      <c r="R3" s="51">
        <v>0.39535682166529901</v>
      </c>
      <c r="T3" s="304"/>
      <c r="U3" s="84" t="s">
        <v>117</v>
      </c>
      <c r="V3" s="85" t="s">
        <v>450</v>
      </c>
      <c r="W3" s="85" t="s">
        <v>451</v>
      </c>
      <c r="X3" s="85" t="s">
        <v>117</v>
      </c>
      <c r="Y3" s="85" t="s">
        <v>450</v>
      </c>
      <c r="Z3" s="85" t="s">
        <v>451</v>
      </c>
      <c r="AA3" s="85" t="s">
        <v>117</v>
      </c>
      <c r="AB3" s="85" t="s">
        <v>450</v>
      </c>
      <c r="AC3" s="86" t="s">
        <v>451</v>
      </c>
      <c r="AD3" s="83"/>
      <c r="AN3" s="304"/>
      <c r="AO3" s="84" t="s">
        <v>452</v>
      </c>
      <c r="AP3" s="86" t="s">
        <v>453</v>
      </c>
      <c r="AR3" s="304"/>
      <c r="AS3" s="84" t="s">
        <v>452</v>
      </c>
      <c r="AT3" s="86" t="s">
        <v>453</v>
      </c>
      <c r="AV3" s="68" t="s">
        <v>452</v>
      </c>
      <c r="AW3" s="49">
        <v>0.76958841421972246</v>
      </c>
      <c r="AX3" s="51">
        <v>0.63854026709266576</v>
      </c>
    </row>
    <row r="4" spans="2:50" ht="16" thickTop="1" thickBot="1">
      <c r="B4" s="285"/>
      <c r="C4" s="47" t="s">
        <v>427</v>
      </c>
      <c r="D4" s="44">
        <v>21</v>
      </c>
      <c r="F4" s="285"/>
      <c r="G4" s="47" t="s">
        <v>498</v>
      </c>
      <c r="H4" s="52">
        <v>-0.16062224726808769</v>
      </c>
      <c r="I4" s="53">
        <v>0.46008989542257339</v>
      </c>
      <c r="J4" s="53">
        <v>-0.25994288085925349</v>
      </c>
      <c r="K4" s="53">
        <v>-0.15954192477327842</v>
      </c>
      <c r="L4" s="53">
        <v>-5.5128517803443168E-2</v>
      </c>
      <c r="M4" s="53">
        <v>1.5308380807121807E-2</v>
      </c>
      <c r="N4" s="54">
        <v>1.2463960868221782E-3</v>
      </c>
      <c r="P4" s="69" t="s">
        <v>498</v>
      </c>
      <c r="Q4" s="65">
        <v>1</v>
      </c>
      <c r="R4" s="54">
        <v>0.78929472119790223</v>
      </c>
      <c r="T4" s="68" t="s">
        <v>452</v>
      </c>
      <c r="U4" s="64">
        <v>3.0826940270369629</v>
      </c>
      <c r="V4" s="74">
        <v>44.03848610052804</v>
      </c>
      <c r="W4" s="74">
        <v>44.03848610052804</v>
      </c>
      <c r="X4" s="74">
        <v>3.0826940270369616</v>
      </c>
      <c r="Y4" s="74">
        <v>44.038486100528019</v>
      </c>
      <c r="Z4" s="74">
        <v>44.038486100528019</v>
      </c>
      <c r="AA4" s="74">
        <v>2.3233585320904186</v>
      </c>
      <c r="AB4" s="74">
        <v>33.190836172720267</v>
      </c>
      <c r="AC4" s="75">
        <v>33.190836172720267</v>
      </c>
      <c r="AD4" s="83"/>
      <c r="AN4" s="68" t="s">
        <v>497</v>
      </c>
      <c r="AO4" s="49">
        <v>0.62409707181559426</v>
      </c>
      <c r="AP4" s="51">
        <v>-7.654845926927574E-2</v>
      </c>
      <c r="AR4" s="68" t="s">
        <v>497</v>
      </c>
      <c r="AS4" s="49">
        <v>0.52917714944507077</v>
      </c>
      <c r="AT4" s="51">
        <v>0.33960030354887522</v>
      </c>
      <c r="AV4" s="70" t="s">
        <v>453</v>
      </c>
      <c r="AW4" s="57">
        <v>-0.63854026709266576</v>
      </c>
      <c r="AX4" s="67">
        <v>0.76958841421972246</v>
      </c>
    </row>
    <row r="5" spans="2:50" ht="16" thickTop="1" thickBot="1">
      <c r="B5" s="286"/>
      <c r="C5" s="48" t="s">
        <v>428</v>
      </c>
      <c r="D5" s="46">
        <v>0</v>
      </c>
      <c r="F5" s="285"/>
      <c r="G5" s="47" t="s">
        <v>499</v>
      </c>
      <c r="H5" s="52">
        <v>1.9879778984546292E-2</v>
      </c>
      <c r="I5" s="53">
        <v>-0.25994288085925349</v>
      </c>
      <c r="J5" s="53">
        <v>0.55919409885827276</v>
      </c>
      <c r="K5" s="53">
        <v>-8.2327091774467023E-2</v>
      </c>
      <c r="L5" s="53">
        <v>-6.6609721311269646E-2</v>
      </c>
      <c r="M5" s="53">
        <v>5.4770125306215127E-3</v>
      </c>
      <c r="N5" s="54">
        <v>-8.5600755030538021E-3</v>
      </c>
      <c r="P5" s="69" t="s">
        <v>499</v>
      </c>
      <c r="Q5" s="65">
        <v>1</v>
      </c>
      <c r="R5" s="54">
        <v>0.68863560766351473</v>
      </c>
      <c r="T5" s="69" t="s">
        <v>453</v>
      </c>
      <c r="U5" s="65">
        <v>1.2203619563974841</v>
      </c>
      <c r="V5" s="76">
        <v>17.433742234249774</v>
      </c>
      <c r="W5" s="76">
        <v>61.47222833477781</v>
      </c>
      <c r="X5" s="76">
        <v>1.2203619563974843</v>
      </c>
      <c r="Y5" s="76">
        <v>17.433742234249777</v>
      </c>
      <c r="Z5" s="76">
        <v>61.472228334777796</v>
      </c>
      <c r="AA5" s="76">
        <v>1.9796974513440264</v>
      </c>
      <c r="AB5" s="76">
        <v>28.281392162057521</v>
      </c>
      <c r="AC5" s="77">
        <v>61.472228334777789</v>
      </c>
      <c r="AD5" s="83"/>
      <c r="AN5" s="69" t="s">
        <v>498</v>
      </c>
      <c r="AO5" s="52">
        <v>0.76008378540164057</v>
      </c>
      <c r="AP5" s="54">
        <v>-0.45996452077026007</v>
      </c>
      <c r="AR5" s="69" t="s">
        <v>498</v>
      </c>
      <c r="AS5" s="52">
        <v>0.87865754302716415</v>
      </c>
      <c r="AT5" s="54">
        <v>0.13136073720624891</v>
      </c>
      <c r="AV5" s="284" t="s">
        <v>517</v>
      </c>
      <c r="AW5" s="284"/>
      <c r="AX5" s="284"/>
    </row>
    <row r="6" spans="2:50" ht="15" thickTop="1">
      <c r="F6" s="285"/>
      <c r="G6" s="47" t="s">
        <v>500</v>
      </c>
      <c r="H6" s="52">
        <v>-5.4617094639218211E-2</v>
      </c>
      <c r="I6" s="53">
        <v>-0.15954192477327842</v>
      </c>
      <c r="J6" s="53">
        <v>-8.2327091774467023E-2</v>
      </c>
      <c r="K6" s="53">
        <v>0.66379918478946232</v>
      </c>
      <c r="L6" s="53">
        <v>2.7045889530519059E-2</v>
      </c>
      <c r="M6" s="53">
        <v>-9.6837295456137062E-2</v>
      </c>
      <c r="N6" s="54">
        <v>-5.1114161651230464E-2</v>
      </c>
      <c r="P6" s="69" t="s">
        <v>500</v>
      </c>
      <c r="Q6" s="65">
        <v>1</v>
      </c>
      <c r="R6" s="54">
        <v>0.53808046395180276</v>
      </c>
      <c r="T6" s="69" t="s">
        <v>454</v>
      </c>
      <c r="U6" s="52">
        <v>0.71983875450091994</v>
      </c>
      <c r="V6" s="76">
        <v>10.283410778584571</v>
      </c>
      <c r="W6" s="76">
        <v>71.755639113362378</v>
      </c>
      <c r="X6" s="87"/>
      <c r="Y6" s="87"/>
      <c r="Z6" s="87"/>
      <c r="AA6" s="87"/>
      <c r="AB6" s="87"/>
      <c r="AC6" s="88"/>
      <c r="AD6" s="83"/>
      <c r="AN6" s="69" t="s">
        <v>499</v>
      </c>
      <c r="AO6" s="52">
        <v>0.68187308350313536</v>
      </c>
      <c r="AP6" s="54">
        <v>-0.47295317490999139</v>
      </c>
      <c r="AR6" s="69" t="s">
        <v>499</v>
      </c>
      <c r="AS6" s="52">
        <v>0.82676127166164048</v>
      </c>
      <c r="AT6" s="54">
        <v>7.1424136984228281E-2</v>
      </c>
    </row>
    <row r="7" spans="2:50">
      <c r="F7" s="285"/>
      <c r="G7" s="47" t="s">
        <v>501</v>
      </c>
      <c r="H7" s="52">
        <v>-5.2071171976726359E-2</v>
      </c>
      <c r="I7" s="53">
        <v>-5.5128517803443168E-2</v>
      </c>
      <c r="J7" s="53">
        <v>-6.6609721311269646E-2</v>
      </c>
      <c r="K7" s="53">
        <v>2.7045889530519059E-2</v>
      </c>
      <c r="L7" s="53">
        <v>0.70613679039246058</v>
      </c>
      <c r="M7" s="53">
        <v>-0.2235268849513023</v>
      </c>
      <c r="N7" s="54">
        <v>-4.3806236908512992E-2</v>
      </c>
      <c r="P7" s="69" t="s">
        <v>501</v>
      </c>
      <c r="Q7" s="65">
        <v>1</v>
      </c>
      <c r="R7" s="54">
        <v>0.50465255875680981</v>
      </c>
      <c r="T7" s="69" t="s">
        <v>455</v>
      </c>
      <c r="U7" s="52">
        <v>0.70399331590388681</v>
      </c>
      <c r="V7" s="76">
        <v>10.057047370055527</v>
      </c>
      <c r="W7" s="76">
        <v>81.812686483417906</v>
      </c>
      <c r="X7" s="87"/>
      <c r="Y7" s="87"/>
      <c r="Z7" s="87"/>
      <c r="AA7" s="87"/>
      <c r="AB7" s="87"/>
      <c r="AC7" s="88"/>
      <c r="AD7" s="83"/>
      <c r="AN7" s="69" t="s">
        <v>500</v>
      </c>
      <c r="AO7" s="52">
        <v>0.6886935366061353</v>
      </c>
      <c r="AP7" s="54">
        <v>-0.25255034466168624</v>
      </c>
      <c r="AR7" s="69" t="s">
        <v>500</v>
      </c>
      <c r="AS7" s="52">
        <v>0.69127413125470605</v>
      </c>
      <c r="AT7" s="54">
        <v>0.2453987355506427</v>
      </c>
    </row>
    <row r="8" spans="2:50">
      <c r="F8" s="285"/>
      <c r="G8" s="47" t="s">
        <v>502</v>
      </c>
      <c r="H8" s="52">
        <v>-7.6079277241327584E-2</v>
      </c>
      <c r="I8" s="53">
        <v>1.5308380807121807E-2</v>
      </c>
      <c r="J8" s="53">
        <v>5.4770125306215127E-3</v>
      </c>
      <c r="K8" s="53">
        <v>-9.6837295456137062E-2</v>
      </c>
      <c r="L8" s="53">
        <v>-0.2235268849513023</v>
      </c>
      <c r="M8" s="53">
        <v>0.57601562428860387</v>
      </c>
      <c r="N8" s="54">
        <v>-0.26110274178944359</v>
      </c>
      <c r="P8" s="69" t="s">
        <v>502</v>
      </c>
      <c r="Q8" s="65">
        <v>1</v>
      </c>
      <c r="R8" s="54">
        <v>0.74768817366049778</v>
      </c>
      <c r="T8" s="69" t="s">
        <v>456</v>
      </c>
      <c r="U8" s="52">
        <v>0.55050052029928576</v>
      </c>
      <c r="V8" s="76">
        <v>7.8642931471326536</v>
      </c>
      <c r="W8" s="76">
        <v>89.676979630550562</v>
      </c>
      <c r="X8" s="87"/>
      <c r="Y8" s="87"/>
      <c r="Z8" s="87"/>
      <c r="AA8" s="87"/>
      <c r="AB8" s="87"/>
      <c r="AC8" s="88"/>
      <c r="AD8" s="83"/>
      <c r="AN8" s="69" t="s">
        <v>501</v>
      </c>
      <c r="AO8" s="52">
        <v>0.62809946210259193</v>
      </c>
      <c r="AP8" s="54">
        <v>0.3318789304298248</v>
      </c>
      <c r="AR8" s="69" t="s">
        <v>501</v>
      </c>
      <c r="AS8" s="52">
        <v>0.27146000813270582</v>
      </c>
      <c r="AT8" s="54">
        <v>0.65647697807417515</v>
      </c>
    </row>
    <row r="9" spans="2:50" ht="15" thickBot="1">
      <c r="F9" s="285"/>
      <c r="G9" s="47" t="s">
        <v>503</v>
      </c>
      <c r="H9" s="52">
        <v>-4.8409352288002847E-2</v>
      </c>
      <c r="I9" s="53">
        <v>1.2463960868221782E-3</v>
      </c>
      <c r="J9" s="53">
        <v>-8.5600755030538021E-3</v>
      </c>
      <c r="K9" s="53">
        <v>-5.1114161651230464E-2</v>
      </c>
      <c r="L9" s="53">
        <v>-4.3806236908512992E-2</v>
      </c>
      <c r="M9" s="53">
        <v>-0.26110274178944359</v>
      </c>
      <c r="N9" s="54">
        <v>0.69875723343396512</v>
      </c>
      <c r="P9" s="70" t="s">
        <v>503</v>
      </c>
      <c r="Q9" s="66">
        <v>1</v>
      </c>
      <c r="R9" s="67">
        <v>0.63934763653861959</v>
      </c>
      <c r="T9" s="69" t="s">
        <v>457</v>
      </c>
      <c r="U9" s="52">
        <v>0.40511222230803073</v>
      </c>
      <c r="V9" s="76">
        <v>5.7873174615432958</v>
      </c>
      <c r="W9" s="76">
        <v>95.464297092093858</v>
      </c>
      <c r="X9" s="87"/>
      <c r="Y9" s="87"/>
      <c r="Z9" s="87"/>
      <c r="AA9" s="87"/>
      <c r="AB9" s="87"/>
      <c r="AC9" s="88"/>
      <c r="AD9" s="83"/>
      <c r="AN9" s="69" t="s">
        <v>502</v>
      </c>
      <c r="AO9" s="52">
        <v>0.67123631463225963</v>
      </c>
      <c r="AP9" s="54">
        <v>0.54509630670130205</v>
      </c>
      <c r="AR9" s="69" t="s">
        <v>502</v>
      </c>
      <c r="AS9" s="52">
        <v>0.16850974967225632</v>
      </c>
      <c r="AT9" s="54">
        <v>0.84811121789886201</v>
      </c>
    </row>
    <row r="10" spans="2:50" ht="16" thickTop="1" thickBot="1">
      <c r="F10" s="285" t="s">
        <v>436</v>
      </c>
      <c r="G10" s="47" t="s">
        <v>497</v>
      </c>
      <c r="H10" s="55" t="s">
        <v>504</v>
      </c>
      <c r="I10" s="53">
        <v>-0.27375876808302235</v>
      </c>
      <c r="J10" s="53">
        <v>3.0733636447265174E-2</v>
      </c>
      <c r="K10" s="53">
        <v>-7.749861201140372E-2</v>
      </c>
      <c r="L10" s="53">
        <v>-7.1636873047913871E-2</v>
      </c>
      <c r="M10" s="53">
        <v>-0.11588652333271827</v>
      </c>
      <c r="N10" s="54">
        <v>-6.6949879738123497E-2</v>
      </c>
      <c r="P10" s="284" t="s">
        <v>422</v>
      </c>
      <c r="Q10" s="284"/>
      <c r="R10" s="284"/>
      <c r="T10" s="70" t="s">
        <v>458</v>
      </c>
      <c r="U10" s="57">
        <v>0.31749920355343009</v>
      </c>
      <c r="V10" s="80">
        <v>4.5357029079061437</v>
      </c>
      <c r="W10" s="80">
        <v>100</v>
      </c>
      <c r="X10" s="89"/>
      <c r="Y10" s="89"/>
      <c r="Z10" s="89"/>
      <c r="AA10" s="89"/>
      <c r="AB10" s="89"/>
      <c r="AC10" s="90"/>
      <c r="AD10" s="83"/>
      <c r="AN10" s="70" t="s">
        <v>503</v>
      </c>
      <c r="AO10" s="57">
        <v>0.57545868436741143</v>
      </c>
      <c r="AP10" s="67">
        <v>0.55515307720010665</v>
      </c>
      <c r="AR10" s="70" t="s">
        <v>503</v>
      </c>
      <c r="AS10" s="57">
        <v>8.8378742158612619E-2</v>
      </c>
      <c r="AT10" s="67">
        <v>0.79469291834839006</v>
      </c>
    </row>
    <row r="11" spans="2:50" ht="15" thickTop="1">
      <c r="F11" s="285"/>
      <c r="G11" s="47" t="s">
        <v>498</v>
      </c>
      <c r="H11" s="52">
        <v>-0.27375876808302235</v>
      </c>
      <c r="I11" s="56" t="s">
        <v>505</v>
      </c>
      <c r="J11" s="53">
        <v>-0.51247807531843403</v>
      </c>
      <c r="K11" s="53">
        <v>-0.28869224794228876</v>
      </c>
      <c r="L11" s="53">
        <v>-9.6718721893577733E-2</v>
      </c>
      <c r="M11" s="53">
        <v>2.973656347467284E-2</v>
      </c>
      <c r="N11" s="54">
        <v>2.1982221053740234E-3</v>
      </c>
      <c r="T11" s="284" t="s">
        <v>422</v>
      </c>
      <c r="U11" s="284"/>
      <c r="V11" s="284"/>
      <c r="W11" s="284"/>
      <c r="X11" s="284"/>
      <c r="Y11" s="284"/>
      <c r="Z11" s="284"/>
      <c r="AA11" s="284"/>
      <c r="AB11" s="284"/>
      <c r="AC11" s="284"/>
      <c r="AD11" s="83"/>
      <c r="AN11" s="284" t="s">
        <v>461</v>
      </c>
      <c r="AO11" s="284"/>
      <c r="AP11" s="284"/>
      <c r="AR11" s="284" t="s">
        <v>513</v>
      </c>
      <c r="AS11" s="284"/>
      <c r="AT11" s="284"/>
    </row>
    <row r="12" spans="2:50">
      <c r="F12" s="285"/>
      <c r="G12" s="47" t="s">
        <v>499</v>
      </c>
      <c r="H12" s="52">
        <v>3.0733636447265174E-2</v>
      </c>
      <c r="I12" s="53">
        <v>-0.51247807531843403</v>
      </c>
      <c r="J12" s="56" t="s">
        <v>506</v>
      </c>
      <c r="K12" s="53">
        <v>-0.13512730864248285</v>
      </c>
      <c r="L12" s="53">
        <v>-0.10600147467911046</v>
      </c>
      <c r="M12" s="53">
        <v>9.6503999560144816E-3</v>
      </c>
      <c r="N12" s="54">
        <v>-1.3694089033765535E-2</v>
      </c>
      <c r="AN12" s="284" t="s">
        <v>512</v>
      </c>
      <c r="AO12" s="284"/>
      <c r="AP12" s="284"/>
      <c r="AR12" s="284" t="s">
        <v>514</v>
      </c>
      <c r="AS12" s="284"/>
      <c r="AT12" s="284"/>
    </row>
    <row r="13" spans="2:50">
      <c r="F13" s="285"/>
      <c r="G13" s="47" t="s">
        <v>500</v>
      </c>
      <c r="H13" s="52">
        <v>-7.749861201140372E-2</v>
      </c>
      <c r="I13" s="53">
        <v>-0.28869224794228876</v>
      </c>
      <c r="J13" s="53">
        <v>-0.13512730864248285</v>
      </c>
      <c r="K13" s="56" t="s">
        <v>507</v>
      </c>
      <c r="L13" s="53">
        <v>3.9503765343510439E-2</v>
      </c>
      <c r="M13" s="53">
        <v>-0.15660555479984525</v>
      </c>
      <c r="N13" s="54">
        <v>-7.5051560453244598E-2</v>
      </c>
    </row>
    <row r="14" spans="2:50">
      <c r="F14" s="285"/>
      <c r="G14" s="47" t="s">
        <v>501</v>
      </c>
      <c r="H14" s="52">
        <v>-7.1636873047913871E-2</v>
      </c>
      <c r="I14" s="53">
        <v>-9.6718721893577733E-2</v>
      </c>
      <c r="J14" s="53">
        <v>-0.10600147467911046</v>
      </c>
      <c r="K14" s="53">
        <v>3.9503765343510439E-2</v>
      </c>
      <c r="L14" s="56" t="s">
        <v>508</v>
      </c>
      <c r="M14" s="53">
        <v>-0.35048401427369169</v>
      </c>
      <c r="N14" s="54">
        <v>-6.2363196818227142E-2</v>
      </c>
    </row>
    <row r="15" spans="2:50">
      <c r="F15" s="285"/>
      <c r="G15" s="47" t="s">
        <v>502</v>
      </c>
      <c r="H15" s="52">
        <v>-0.11588652333271827</v>
      </c>
      <c r="I15" s="53">
        <v>2.973656347467284E-2</v>
      </c>
      <c r="J15" s="53">
        <v>9.6503999560144816E-3</v>
      </c>
      <c r="K15" s="53">
        <v>-0.15660555479984525</v>
      </c>
      <c r="L15" s="53">
        <v>-0.35048401427369169</v>
      </c>
      <c r="M15" s="56" t="s">
        <v>509</v>
      </c>
      <c r="N15" s="54">
        <v>-0.41155808910574659</v>
      </c>
    </row>
    <row r="16" spans="2:50" ht="15" thickBot="1">
      <c r="F16" s="286"/>
      <c r="G16" s="48" t="s">
        <v>503</v>
      </c>
      <c r="H16" s="57">
        <v>-6.6949879738123497E-2</v>
      </c>
      <c r="I16" s="58">
        <v>2.1982221053740234E-3</v>
      </c>
      <c r="J16" s="58">
        <v>-1.3694089033765535E-2</v>
      </c>
      <c r="K16" s="58">
        <v>-7.5051560453244598E-2</v>
      </c>
      <c r="L16" s="58">
        <v>-6.2363196818227142E-2</v>
      </c>
      <c r="M16" s="58">
        <v>-0.41155808910574659</v>
      </c>
      <c r="N16" s="59" t="s">
        <v>510</v>
      </c>
    </row>
    <row r="17" spans="2:42" ht="15" thickTop="1">
      <c r="F17" s="284" t="s">
        <v>437</v>
      </c>
      <c r="G17" s="284"/>
      <c r="H17" s="284"/>
      <c r="I17" s="284"/>
      <c r="J17" s="284"/>
      <c r="K17" s="284"/>
      <c r="L17" s="284"/>
      <c r="M17" s="284"/>
      <c r="N17" s="284"/>
    </row>
    <row r="26" spans="2:42" ht="15" thickBot="1">
      <c r="B26" s="289" t="s">
        <v>423</v>
      </c>
      <c r="C26" s="289"/>
      <c r="D26" s="289"/>
      <c r="F26" s="287" t="s">
        <v>429</v>
      </c>
      <c r="G26" s="287"/>
      <c r="H26" s="287"/>
      <c r="I26" s="287"/>
      <c r="J26" s="287"/>
      <c r="K26" s="287"/>
      <c r="L26" s="83"/>
      <c r="P26" s="287" t="s">
        <v>415</v>
      </c>
      <c r="Q26" s="287"/>
      <c r="R26" s="287"/>
      <c r="T26" s="289" t="s">
        <v>446</v>
      </c>
      <c r="U26" s="289"/>
      <c r="V26" s="289"/>
      <c r="W26" s="289"/>
      <c r="X26" s="289"/>
      <c r="Y26" s="289"/>
      <c r="Z26" s="289"/>
    </row>
    <row r="27" spans="2:42" ht="16" thickTop="1" thickBot="1">
      <c r="B27" s="296" t="s">
        <v>424</v>
      </c>
      <c r="C27" s="297"/>
      <c r="D27" s="41">
        <v>0.7214482241953748</v>
      </c>
      <c r="F27" s="300" t="s">
        <v>354</v>
      </c>
      <c r="G27" s="301"/>
      <c r="H27" s="60" t="s">
        <v>497</v>
      </c>
      <c r="I27" s="61" t="s">
        <v>498</v>
      </c>
      <c r="J27" s="61" t="s">
        <v>499</v>
      </c>
      <c r="K27" s="62" t="s">
        <v>500</v>
      </c>
      <c r="L27" s="83"/>
      <c r="P27" s="288" t="s">
        <v>354</v>
      </c>
      <c r="Q27" s="60" t="s">
        <v>416</v>
      </c>
      <c r="R27" s="62" t="s">
        <v>417</v>
      </c>
      <c r="T27" s="290" t="s">
        <v>447</v>
      </c>
      <c r="U27" s="292" t="s">
        <v>448</v>
      </c>
      <c r="V27" s="293"/>
      <c r="W27" s="293"/>
      <c r="X27" s="293" t="s">
        <v>449</v>
      </c>
      <c r="Y27" s="293"/>
      <c r="Z27" s="294"/>
      <c r="AN27" s="287" t="s">
        <v>463</v>
      </c>
      <c r="AO27" s="287"/>
      <c r="AP27" s="83"/>
    </row>
    <row r="28" spans="2:42" ht="25" thickTop="1" thickBot="1">
      <c r="B28" s="298" t="s">
        <v>425</v>
      </c>
      <c r="C28" s="42" t="s">
        <v>426</v>
      </c>
      <c r="D28" s="43">
        <v>1454.4835917496848</v>
      </c>
      <c r="F28" s="302" t="s">
        <v>435</v>
      </c>
      <c r="G28" s="63" t="s">
        <v>497</v>
      </c>
      <c r="H28" s="49">
        <v>0.79030987837229827</v>
      </c>
      <c r="I28" s="50">
        <v>-0.17668767418404249</v>
      </c>
      <c r="J28" s="50">
        <v>8.7299528586170481E-3</v>
      </c>
      <c r="K28" s="51">
        <v>-9.6824303244649829E-2</v>
      </c>
      <c r="L28" s="83"/>
      <c r="P28" s="68" t="s">
        <v>497</v>
      </c>
      <c r="Q28" s="64">
        <v>1</v>
      </c>
      <c r="R28" s="51">
        <v>0.40636369282913104</v>
      </c>
      <c r="T28" s="291"/>
      <c r="U28" s="71" t="s">
        <v>117</v>
      </c>
      <c r="V28" s="72" t="s">
        <v>450</v>
      </c>
      <c r="W28" s="72" t="s">
        <v>451</v>
      </c>
      <c r="X28" s="72" t="s">
        <v>117</v>
      </c>
      <c r="Y28" s="72" t="s">
        <v>450</v>
      </c>
      <c r="Z28" s="73" t="s">
        <v>451</v>
      </c>
      <c r="AN28" s="303" t="s">
        <v>354</v>
      </c>
      <c r="AO28" s="94" t="s">
        <v>447</v>
      </c>
      <c r="AP28" s="83"/>
    </row>
    <row r="29" spans="2:42" ht="16" thickTop="1" thickBot="1">
      <c r="B29" s="298"/>
      <c r="C29" s="42" t="s">
        <v>427</v>
      </c>
      <c r="D29" s="44">
        <v>6</v>
      </c>
      <c r="F29" s="285"/>
      <c r="G29" s="47" t="s">
        <v>498</v>
      </c>
      <c r="H29" s="52">
        <v>-0.17668767418404249</v>
      </c>
      <c r="I29" s="53">
        <v>0.46446451067146644</v>
      </c>
      <c r="J29" s="53">
        <v>-0.27154594694806583</v>
      </c>
      <c r="K29" s="54">
        <v>-0.16849887747292763</v>
      </c>
      <c r="L29" s="83"/>
      <c r="P29" s="69" t="s">
        <v>498</v>
      </c>
      <c r="Q29" s="65">
        <v>1</v>
      </c>
      <c r="R29" s="54">
        <v>0.76481069800351653</v>
      </c>
      <c r="T29" s="68" t="s">
        <v>452</v>
      </c>
      <c r="U29" s="64">
        <v>2.356611345111697</v>
      </c>
      <c r="V29" s="74">
        <v>58.915283627792427</v>
      </c>
      <c r="W29" s="74">
        <v>58.915283627792427</v>
      </c>
      <c r="X29" s="74">
        <v>2.3566113451116966</v>
      </c>
      <c r="Y29" s="74">
        <v>58.915283627792412</v>
      </c>
      <c r="Z29" s="75">
        <v>58.915283627792412</v>
      </c>
      <c r="AN29" s="304"/>
      <c r="AO29" s="91" t="s">
        <v>452</v>
      </c>
      <c r="AP29" s="83"/>
    </row>
    <row r="30" spans="2:42" ht="16" thickTop="1" thickBot="1">
      <c r="B30" s="299"/>
      <c r="C30" s="45" t="s">
        <v>428</v>
      </c>
      <c r="D30" s="46">
        <v>0</v>
      </c>
      <c r="F30" s="285"/>
      <c r="G30" s="47" t="s">
        <v>499</v>
      </c>
      <c r="H30" s="52">
        <v>8.7299528586170481E-3</v>
      </c>
      <c r="I30" s="53">
        <v>-0.27154594694806583</v>
      </c>
      <c r="J30" s="53">
        <v>0.56688540309021473</v>
      </c>
      <c r="K30" s="54">
        <v>-9.2169258791321637E-2</v>
      </c>
      <c r="L30" s="83"/>
      <c r="P30" s="69" t="s">
        <v>499</v>
      </c>
      <c r="Q30" s="65">
        <v>1</v>
      </c>
      <c r="R30" s="54">
        <v>0.62940139210230883</v>
      </c>
      <c r="T30" s="69" t="s">
        <v>453</v>
      </c>
      <c r="U30" s="52">
        <v>0.73943129706732447</v>
      </c>
      <c r="V30" s="76">
        <v>18.485782426683112</v>
      </c>
      <c r="W30" s="76">
        <v>77.401066054475535</v>
      </c>
      <c r="X30" s="78"/>
      <c r="Y30" s="78"/>
      <c r="Z30" s="79"/>
      <c r="AN30" s="68" t="s">
        <v>497</v>
      </c>
      <c r="AO30" s="41">
        <v>0.63746662095291784</v>
      </c>
      <c r="AP30" s="83"/>
    </row>
    <row r="31" spans="2:42" ht="16" thickTop="1" thickBot="1">
      <c r="F31" s="285"/>
      <c r="G31" s="47" t="s">
        <v>500</v>
      </c>
      <c r="H31" s="52">
        <v>-9.6824303244649829E-2</v>
      </c>
      <c r="I31" s="53">
        <v>-0.16849887747292763</v>
      </c>
      <c r="J31" s="53">
        <v>-9.2169258791321637E-2</v>
      </c>
      <c r="K31" s="54">
        <v>0.69946699482203889</v>
      </c>
      <c r="L31" s="83"/>
      <c r="P31" s="70" t="s">
        <v>500</v>
      </c>
      <c r="Q31" s="66">
        <v>1</v>
      </c>
      <c r="R31" s="67">
        <v>0.55603556217674011</v>
      </c>
      <c r="T31" s="69" t="s">
        <v>454</v>
      </c>
      <c r="U31" s="52">
        <v>0.58364159113305636</v>
      </c>
      <c r="V31" s="76">
        <v>14.591039778326408</v>
      </c>
      <c r="W31" s="76">
        <v>91.99210583280194</v>
      </c>
      <c r="X31" s="78"/>
      <c r="Y31" s="78"/>
      <c r="Z31" s="79"/>
      <c r="AN31" s="69" t="s">
        <v>498</v>
      </c>
      <c r="AO31" s="92">
        <v>0.87453456078277236</v>
      </c>
      <c r="AP31" s="83"/>
    </row>
    <row r="32" spans="2:42" ht="16" thickTop="1" thickBot="1">
      <c r="F32" s="285" t="s">
        <v>436</v>
      </c>
      <c r="G32" s="47" t="s">
        <v>497</v>
      </c>
      <c r="H32" s="55" t="s">
        <v>518</v>
      </c>
      <c r="I32" s="53">
        <v>-0.29162938434520314</v>
      </c>
      <c r="J32" s="53">
        <v>1.3042641472420511E-2</v>
      </c>
      <c r="K32" s="54">
        <v>-0.13022730765346119</v>
      </c>
      <c r="L32" s="83"/>
      <c r="P32" s="284" t="s">
        <v>422</v>
      </c>
      <c r="Q32" s="284"/>
      <c r="R32" s="284"/>
      <c r="T32" s="70" t="s">
        <v>455</v>
      </c>
      <c r="U32" s="57">
        <v>0.32031576668792083</v>
      </c>
      <c r="V32" s="80">
        <v>8.0078941671980211</v>
      </c>
      <c r="W32" s="80">
        <v>100</v>
      </c>
      <c r="X32" s="81"/>
      <c r="Y32" s="81"/>
      <c r="Z32" s="82"/>
      <c r="AN32" s="69" t="s">
        <v>499</v>
      </c>
      <c r="AO32" s="92">
        <v>0.79334821617137885</v>
      </c>
      <c r="AP32" s="83"/>
    </row>
    <row r="33" spans="6:42" ht="16" thickTop="1" thickBot="1">
      <c r="F33" s="285"/>
      <c r="G33" s="47" t="s">
        <v>498</v>
      </c>
      <c r="H33" s="52">
        <v>-0.29162938434520314</v>
      </c>
      <c r="I33" s="56" t="s">
        <v>519</v>
      </c>
      <c r="J33" s="53">
        <v>-0.52919949371196218</v>
      </c>
      <c r="K33" s="54">
        <v>-0.29562225870710573</v>
      </c>
      <c r="L33" s="83"/>
      <c r="T33" s="295" t="s">
        <v>422</v>
      </c>
      <c r="U33" s="295"/>
      <c r="V33" s="295"/>
      <c r="W33" s="295"/>
      <c r="X33" s="295"/>
      <c r="Y33" s="295"/>
      <c r="Z33" s="295"/>
      <c r="AN33" s="70" t="s">
        <v>500</v>
      </c>
      <c r="AO33" s="93">
        <v>0.74567792120776921</v>
      </c>
      <c r="AP33" s="83"/>
    </row>
    <row r="34" spans="6:42" ht="15" thickTop="1">
      <c r="F34" s="285"/>
      <c r="G34" s="47" t="s">
        <v>499</v>
      </c>
      <c r="H34" s="52">
        <v>1.3042641472420511E-2</v>
      </c>
      <c r="I34" s="53">
        <v>-0.52919949371196218</v>
      </c>
      <c r="J34" s="56" t="s">
        <v>520</v>
      </c>
      <c r="K34" s="54">
        <v>-0.14637093413797292</v>
      </c>
      <c r="L34" s="83"/>
      <c r="AN34" s="284" t="s">
        <v>461</v>
      </c>
      <c r="AO34" s="284"/>
      <c r="AP34" s="83"/>
    </row>
    <row r="35" spans="6:42" ht="15" thickBot="1">
      <c r="F35" s="286"/>
      <c r="G35" s="48" t="s">
        <v>500</v>
      </c>
      <c r="H35" s="57">
        <v>-0.13022730765346119</v>
      </c>
      <c r="I35" s="58">
        <v>-0.29562225870710573</v>
      </c>
      <c r="J35" s="58">
        <v>-0.14637093413797292</v>
      </c>
      <c r="K35" s="59" t="s">
        <v>521</v>
      </c>
      <c r="L35" s="83"/>
      <c r="AN35" s="284" t="s">
        <v>462</v>
      </c>
      <c r="AO35" s="284"/>
      <c r="AP35" s="83"/>
    </row>
    <row r="36" spans="6:42" ht="15" thickTop="1">
      <c r="F36" s="284" t="s">
        <v>437</v>
      </c>
      <c r="G36" s="284"/>
      <c r="H36" s="284"/>
      <c r="I36" s="284"/>
      <c r="J36" s="284"/>
      <c r="K36" s="284"/>
      <c r="L36" s="83"/>
    </row>
  </sheetData>
  <mergeCells count="50">
    <mergeCell ref="B1:D1"/>
    <mergeCell ref="B2:C2"/>
    <mergeCell ref="B3:B5"/>
    <mergeCell ref="F1:N1"/>
    <mergeCell ref="F2:G2"/>
    <mergeCell ref="F3:F9"/>
    <mergeCell ref="P1:R1"/>
    <mergeCell ref="P2"/>
    <mergeCell ref="P10:R10"/>
    <mergeCell ref="T1:AC1"/>
    <mergeCell ref="T2:T3"/>
    <mergeCell ref="U2:W2"/>
    <mergeCell ref="X2:Z2"/>
    <mergeCell ref="AA2:AC2"/>
    <mergeCell ref="AV1:AX1"/>
    <mergeCell ref="AV2"/>
    <mergeCell ref="AV5:AX5"/>
    <mergeCell ref="T11:AC11"/>
    <mergeCell ref="AN1:AP1"/>
    <mergeCell ref="AN2:AN3"/>
    <mergeCell ref="AO2:AP2"/>
    <mergeCell ref="AN11:AP11"/>
    <mergeCell ref="AR1:AT1"/>
    <mergeCell ref="AR2:AR3"/>
    <mergeCell ref="AS2:AT2"/>
    <mergeCell ref="AR11:AT11"/>
    <mergeCell ref="AR12:AT12"/>
    <mergeCell ref="B26:D26"/>
    <mergeCell ref="B27:C27"/>
    <mergeCell ref="B28:B30"/>
    <mergeCell ref="F26:K26"/>
    <mergeCell ref="F27:G27"/>
    <mergeCell ref="F28:F31"/>
    <mergeCell ref="AN27:AO27"/>
    <mergeCell ref="AN28:AN29"/>
    <mergeCell ref="AN12:AP12"/>
    <mergeCell ref="F10:F16"/>
    <mergeCell ref="F17:N17"/>
    <mergeCell ref="AN34:AO34"/>
    <mergeCell ref="AN35:AO35"/>
    <mergeCell ref="F32:F35"/>
    <mergeCell ref="F36:K36"/>
    <mergeCell ref="P26:R26"/>
    <mergeCell ref="P27"/>
    <mergeCell ref="P32:R32"/>
    <mergeCell ref="T26:Z26"/>
    <mergeCell ref="T27:T28"/>
    <mergeCell ref="U27:W27"/>
    <mergeCell ref="X27:Z27"/>
    <mergeCell ref="T33:Z33"/>
  </mergeCells>
  <pageMargins left="0.7" right="0.7" top="0.75" bottom="0.75" header="0.3" footer="0.3"/>
  <drawing r:id="rId1"/>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Z21"/>
  <sheetViews>
    <sheetView topLeftCell="J1" workbookViewId="0">
      <selection activeCell="T15" sqref="T15:Y15"/>
    </sheetView>
  </sheetViews>
  <sheetFormatPr baseColWidth="10" defaultRowHeight="14" x14ac:dyDescent="0"/>
  <sheetData>
    <row r="2" spans="2:26" ht="15" thickBot="1">
      <c r="B2" s="317" t="s">
        <v>468</v>
      </c>
      <c r="C2" s="317"/>
      <c r="D2" s="317"/>
      <c r="E2" s="317"/>
      <c r="F2" s="95"/>
      <c r="G2" s="313" t="s">
        <v>475</v>
      </c>
      <c r="H2" s="313"/>
      <c r="I2" s="313"/>
      <c r="K2" s="313" t="s">
        <v>479</v>
      </c>
      <c r="L2" s="313"/>
      <c r="M2" s="313"/>
      <c r="N2" s="313"/>
      <c r="O2" s="313"/>
      <c r="P2" s="313"/>
      <c r="Q2" s="313"/>
      <c r="R2" s="313"/>
      <c r="S2" s="124"/>
      <c r="T2" s="313" t="s">
        <v>490</v>
      </c>
      <c r="U2" s="313"/>
      <c r="V2" s="313"/>
      <c r="W2" s="313"/>
      <c r="X2" s="313"/>
      <c r="Y2" s="313"/>
      <c r="Z2" s="124"/>
    </row>
    <row r="3" spans="2:26" ht="16" thickTop="1" thickBot="1">
      <c r="B3" s="315" t="s">
        <v>354</v>
      </c>
      <c r="C3" s="316"/>
      <c r="D3" s="96" t="s">
        <v>374</v>
      </c>
      <c r="E3" s="97" t="s">
        <v>469</v>
      </c>
      <c r="F3" s="95"/>
      <c r="G3" s="110" t="s">
        <v>476</v>
      </c>
      <c r="H3" s="111" t="s">
        <v>477</v>
      </c>
      <c r="I3" s="112" t="s">
        <v>478</v>
      </c>
      <c r="K3" s="314" t="s">
        <v>354</v>
      </c>
      <c r="L3" s="110" t="s">
        <v>480</v>
      </c>
      <c r="M3" s="111" t="s">
        <v>481</v>
      </c>
      <c r="N3" s="111" t="s">
        <v>482</v>
      </c>
      <c r="O3" s="111" t="s">
        <v>483</v>
      </c>
      <c r="P3" s="111" t="s">
        <v>484</v>
      </c>
      <c r="Q3" s="111" t="s">
        <v>485</v>
      </c>
      <c r="R3" s="112" t="s">
        <v>478</v>
      </c>
      <c r="S3" s="124"/>
      <c r="T3" s="314" t="s">
        <v>354</v>
      </c>
      <c r="U3" s="110" t="s">
        <v>491</v>
      </c>
      <c r="V3" s="111" t="s">
        <v>492</v>
      </c>
      <c r="W3" s="111" t="s">
        <v>493</v>
      </c>
      <c r="X3" s="111" t="s">
        <v>494</v>
      </c>
      <c r="Y3" s="112" t="s">
        <v>495</v>
      </c>
      <c r="Z3" s="124"/>
    </row>
    <row r="4" spans="2:26" ht="16" thickTop="1" thickBot="1">
      <c r="B4" s="309" t="s">
        <v>470</v>
      </c>
      <c r="C4" s="98" t="s">
        <v>471</v>
      </c>
      <c r="D4" s="99">
        <v>1300.0001899999947</v>
      </c>
      <c r="E4" s="100">
        <v>100</v>
      </c>
      <c r="F4" s="95"/>
      <c r="G4" s="107">
        <v>0.78029108774399503</v>
      </c>
      <c r="H4" s="108">
        <v>0.78631607118878888</v>
      </c>
      <c r="I4" s="109">
        <v>7</v>
      </c>
      <c r="K4" s="125" t="s">
        <v>486</v>
      </c>
      <c r="L4" s="113">
        <v>2.976776767130429</v>
      </c>
      <c r="M4" s="114">
        <v>2.7534704437235522</v>
      </c>
      <c r="N4" s="114">
        <v>3.4130833165493688</v>
      </c>
      <c r="O4" s="115">
        <v>0.6596128728258166</v>
      </c>
      <c r="P4" s="114">
        <v>1.2395569105633157</v>
      </c>
      <c r="Q4" s="115">
        <v>7.1467396157589472E-2</v>
      </c>
      <c r="R4" s="116">
        <v>7</v>
      </c>
      <c r="S4" s="124"/>
      <c r="T4" s="125" t="s">
        <v>497</v>
      </c>
      <c r="U4" s="128">
        <v>17.793077214857949</v>
      </c>
      <c r="V4" s="114">
        <v>1477.4628448123319</v>
      </c>
      <c r="W4" s="115">
        <v>0.47582163316495102</v>
      </c>
      <c r="X4" s="115">
        <v>0.25177429418759201</v>
      </c>
      <c r="Y4" s="129">
        <v>0.75885680709575964</v>
      </c>
      <c r="Z4" s="124"/>
    </row>
    <row r="5" spans="2:26" ht="15" thickTop="1">
      <c r="B5" s="310"/>
      <c r="C5" s="101" t="s">
        <v>474</v>
      </c>
      <c r="D5" s="102">
        <v>0</v>
      </c>
      <c r="E5" s="103">
        <v>0</v>
      </c>
      <c r="F5" s="95"/>
      <c r="K5" s="126" t="s">
        <v>487</v>
      </c>
      <c r="L5" s="117">
        <v>92.715894775638844</v>
      </c>
      <c r="M5" s="118">
        <v>36.998357835266802</v>
      </c>
      <c r="N5" s="118">
        <v>151.61334766490248</v>
      </c>
      <c r="O5" s="118">
        <v>114.61498982963568</v>
      </c>
      <c r="P5" s="118">
        <v>4.0978399187324142</v>
      </c>
      <c r="Q5" s="118">
        <v>1411.7869588335352</v>
      </c>
      <c r="R5" s="119">
        <v>7</v>
      </c>
      <c r="S5" s="124"/>
      <c r="T5" s="126" t="s">
        <v>498</v>
      </c>
      <c r="U5" s="130">
        <v>17.424354053363636</v>
      </c>
      <c r="V5" s="118">
        <v>1246.9585537877454</v>
      </c>
      <c r="W5" s="131">
        <v>0.64526255330282434</v>
      </c>
      <c r="X5" s="131">
        <v>0.53991010457742461</v>
      </c>
      <c r="Y5" s="132">
        <v>0.72133332972101127</v>
      </c>
      <c r="Z5" s="124"/>
    </row>
    <row r="6" spans="2:26" ht="15" thickBot="1">
      <c r="B6" s="311"/>
      <c r="C6" s="104" t="s">
        <v>117</v>
      </c>
      <c r="D6" s="105">
        <v>1300.0001899999947</v>
      </c>
      <c r="E6" s="106">
        <v>100</v>
      </c>
      <c r="F6" s="95"/>
      <c r="K6" s="126" t="s">
        <v>488</v>
      </c>
      <c r="L6" s="117">
        <v>31.206849126507585</v>
      </c>
      <c r="M6" s="118">
        <v>14.478173390569262</v>
      </c>
      <c r="N6" s="118">
        <v>84.169333515673827</v>
      </c>
      <c r="O6" s="118">
        <v>69.69116012510456</v>
      </c>
      <c r="P6" s="118">
        <v>5.8135326359953483</v>
      </c>
      <c r="Q6" s="118">
        <v>298.53360039824463</v>
      </c>
      <c r="R6" s="119">
        <v>7</v>
      </c>
      <c r="S6" s="124"/>
      <c r="T6" s="126" t="s">
        <v>499</v>
      </c>
      <c r="U6" s="130">
        <v>18.037869525234459</v>
      </c>
      <c r="V6" s="118">
        <v>1409.4317193952941</v>
      </c>
      <c r="W6" s="131">
        <v>0.55500146214733659</v>
      </c>
      <c r="X6" s="131">
        <v>0.4408059011417258</v>
      </c>
      <c r="Y6" s="132">
        <v>0.74199740487355437</v>
      </c>
      <c r="Z6" s="124"/>
    </row>
    <row r="7" spans="2:26" ht="16" thickTop="1" thickBot="1">
      <c r="B7" s="312" t="s">
        <v>522</v>
      </c>
      <c r="C7" s="312"/>
      <c r="D7" s="312"/>
      <c r="E7" s="312"/>
      <c r="F7" s="95"/>
      <c r="K7" s="127" t="s">
        <v>489</v>
      </c>
      <c r="L7" s="120">
        <v>0.34455757422124822</v>
      </c>
      <c r="M7" s="121">
        <v>0.18669832358943025</v>
      </c>
      <c r="N7" s="121">
        <v>0.6485997774915403</v>
      </c>
      <c r="O7" s="121">
        <v>0.46190145390211002</v>
      </c>
      <c r="P7" s="122">
        <v>3.4740524982853147</v>
      </c>
      <c r="Q7" s="121">
        <v>1.4336486536706376E-2</v>
      </c>
      <c r="R7" s="123">
        <v>7</v>
      </c>
      <c r="S7" s="124"/>
      <c r="T7" s="126" t="s">
        <v>500</v>
      </c>
      <c r="U7" s="130">
        <v>18.060969298781419</v>
      </c>
      <c r="V7" s="118">
        <v>1466.6978303792944</v>
      </c>
      <c r="W7" s="131">
        <v>0.54467386507346349</v>
      </c>
      <c r="X7" s="131">
        <v>0.33620081521053957</v>
      </c>
      <c r="Y7" s="132">
        <v>0.74449074950542127</v>
      </c>
      <c r="Z7" s="124"/>
    </row>
    <row r="8" spans="2:26" ht="15" thickTop="1">
      <c r="B8" s="312" t="s">
        <v>473</v>
      </c>
      <c r="C8" s="312"/>
      <c r="D8" s="312"/>
      <c r="E8" s="312"/>
      <c r="F8" s="95"/>
      <c r="T8" s="126" t="s">
        <v>501</v>
      </c>
      <c r="U8" s="130">
        <v>17.580048099839129</v>
      </c>
      <c r="V8" s="118">
        <v>1516.6494474234971</v>
      </c>
      <c r="W8" s="131">
        <v>0.45620975527679486</v>
      </c>
      <c r="X8" s="131">
        <v>0.29386320960754247</v>
      </c>
      <c r="Y8" s="132">
        <v>0.7621369129291089</v>
      </c>
      <c r="Z8" s="124"/>
    </row>
    <row r="9" spans="2:26">
      <c r="T9" s="126" t="s">
        <v>502</v>
      </c>
      <c r="U9" s="130">
        <v>18.083966926189454</v>
      </c>
      <c r="V9" s="118">
        <v>1668.706142760894</v>
      </c>
      <c r="W9" s="131">
        <v>0.51110841816793351</v>
      </c>
      <c r="X9" s="131">
        <v>0.42398437571139902</v>
      </c>
      <c r="Y9" s="132">
        <v>0.75988926516567679</v>
      </c>
      <c r="Z9" s="124"/>
    </row>
    <row r="10" spans="2:26" ht="15" thickBot="1">
      <c r="T10" s="127" t="s">
        <v>503</v>
      </c>
      <c r="U10" s="133">
        <v>18.044339101211982</v>
      </c>
      <c r="V10" s="122">
        <v>1661.5993585843676</v>
      </c>
      <c r="W10" s="121">
        <v>0.39899919566921399</v>
      </c>
      <c r="X10" s="121">
        <v>0.30124276656603494</v>
      </c>
      <c r="Y10" s="134">
        <v>0.7714292937001439</v>
      </c>
      <c r="Z10" s="124"/>
    </row>
    <row r="15" spans="2:26" ht="15" thickBot="1">
      <c r="B15" s="317" t="s">
        <v>468</v>
      </c>
      <c r="C15" s="317"/>
      <c r="D15" s="317"/>
      <c r="E15" s="317"/>
      <c r="F15" s="95"/>
      <c r="G15" s="313" t="s">
        <v>475</v>
      </c>
      <c r="H15" s="313"/>
      <c r="I15" s="313"/>
      <c r="K15" s="313" t="s">
        <v>479</v>
      </c>
      <c r="L15" s="313"/>
      <c r="M15" s="313"/>
      <c r="N15" s="313"/>
      <c r="O15" s="313"/>
      <c r="P15" s="313"/>
      <c r="Q15" s="313"/>
      <c r="R15" s="313"/>
      <c r="S15" s="124"/>
      <c r="T15" s="313" t="s">
        <v>490</v>
      </c>
      <c r="U15" s="313"/>
      <c r="V15" s="313"/>
      <c r="W15" s="313"/>
      <c r="X15" s="313"/>
      <c r="Y15" s="313"/>
      <c r="Z15" s="124"/>
    </row>
    <row r="16" spans="2:26" ht="16" thickTop="1" thickBot="1">
      <c r="B16" s="315" t="s">
        <v>354</v>
      </c>
      <c r="C16" s="316"/>
      <c r="D16" s="96" t="s">
        <v>374</v>
      </c>
      <c r="E16" s="97" t="s">
        <v>469</v>
      </c>
      <c r="F16" s="95"/>
      <c r="G16" s="110" t="s">
        <v>476</v>
      </c>
      <c r="H16" s="111" t="s">
        <v>477</v>
      </c>
      <c r="I16" s="112" t="s">
        <v>478</v>
      </c>
      <c r="K16" s="314" t="s">
        <v>354</v>
      </c>
      <c r="L16" s="110" t="s">
        <v>480</v>
      </c>
      <c r="M16" s="111" t="s">
        <v>481</v>
      </c>
      <c r="N16" s="111" t="s">
        <v>482</v>
      </c>
      <c r="O16" s="111" t="s">
        <v>483</v>
      </c>
      <c r="P16" s="111" t="s">
        <v>484</v>
      </c>
      <c r="Q16" s="111" t="s">
        <v>485</v>
      </c>
      <c r="R16" s="112" t="s">
        <v>478</v>
      </c>
      <c r="S16" s="124"/>
      <c r="T16" s="314" t="s">
        <v>354</v>
      </c>
      <c r="U16" s="110" t="s">
        <v>491</v>
      </c>
      <c r="V16" s="111" t="s">
        <v>492</v>
      </c>
      <c r="W16" s="111" t="s">
        <v>493</v>
      </c>
      <c r="X16" s="111" t="s">
        <v>494</v>
      </c>
      <c r="Y16" s="112" t="s">
        <v>495</v>
      </c>
      <c r="Z16" s="124"/>
    </row>
    <row r="17" spans="2:26" ht="16" thickTop="1" thickBot="1">
      <c r="B17" s="309" t="s">
        <v>470</v>
      </c>
      <c r="C17" s="98" t="s">
        <v>471</v>
      </c>
      <c r="D17" s="99">
        <v>1300.0001899999947</v>
      </c>
      <c r="E17" s="100">
        <v>100</v>
      </c>
      <c r="F17" s="95"/>
      <c r="G17" s="107">
        <v>0.76507167964865486</v>
      </c>
      <c r="H17" s="108">
        <v>0.76222337956594954</v>
      </c>
      <c r="I17" s="109">
        <v>4</v>
      </c>
      <c r="K17" s="125" t="s">
        <v>486</v>
      </c>
      <c r="L17" s="113">
        <v>3.0083698468536388</v>
      </c>
      <c r="M17" s="114">
        <v>2.7764680711315863</v>
      </c>
      <c r="N17" s="114">
        <v>3.4130833165493688</v>
      </c>
      <c r="O17" s="115">
        <v>0.63661524541778247</v>
      </c>
      <c r="P17" s="114">
        <v>1.2292895971097271</v>
      </c>
      <c r="Q17" s="115">
        <v>8.7488334844320809E-2</v>
      </c>
      <c r="R17" s="116">
        <v>4</v>
      </c>
      <c r="S17" s="124"/>
      <c r="T17" s="125" t="s">
        <v>497</v>
      </c>
      <c r="U17" s="128">
        <v>8.9891192323595011</v>
      </c>
      <c r="V17" s="114">
        <v>734.67174108076506</v>
      </c>
      <c r="W17" s="115">
        <v>0.43154442583781066</v>
      </c>
      <c r="X17" s="115">
        <v>0.20969012162770187</v>
      </c>
      <c r="Y17" s="129">
        <v>0.77527967414510968</v>
      </c>
      <c r="Z17" s="124"/>
    </row>
    <row r="18" spans="2:26" ht="15" thickTop="1">
      <c r="B18" s="310"/>
      <c r="C18" s="101" t="s">
        <v>474</v>
      </c>
      <c r="D18" s="102">
        <v>0</v>
      </c>
      <c r="E18" s="103">
        <v>0</v>
      </c>
      <c r="F18" s="95"/>
      <c r="K18" s="126" t="s">
        <v>487</v>
      </c>
      <c r="L18" s="117">
        <v>115.20543213154528</v>
      </c>
      <c r="M18" s="118">
        <v>92.265905581057623</v>
      </c>
      <c r="N18" s="118">
        <v>151.61334766490248</v>
      </c>
      <c r="O18" s="118">
        <v>59.347442083844854</v>
      </c>
      <c r="P18" s="118">
        <v>1.6432218023558749</v>
      </c>
      <c r="Q18" s="118">
        <v>652.00574547036661</v>
      </c>
      <c r="R18" s="119">
        <v>4</v>
      </c>
      <c r="S18" s="124"/>
      <c r="T18" s="126" t="s">
        <v>498</v>
      </c>
      <c r="U18" s="130">
        <v>8.620396070865187</v>
      </c>
      <c r="V18" s="118">
        <v>525.51430003001371</v>
      </c>
      <c r="W18" s="131">
        <v>0.71583748158459237</v>
      </c>
      <c r="X18" s="131">
        <v>0.53553548932853134</v>
      </c>
      <c r="Y18" s="132">
        <v>0.61741208323840435</v>
      </c>
      <c r="Z18" s="124"/>
    </row>
    <row r="19" spans="2:26" ht="15" thickBot="1">
      <c r="B19" s="311"/>
      <c r="C19" s="104" t="s">
        <v>117</v>
      </c>
      <c r="D19" s="105">
        <v>1300.0001899999947</v>
      </c>
      <c r="E19" s="106">
        <v>100</v>
      </c>
      <c r="F19" s="95"/>
      <c r="K19" s="126" t="s">
        <v>488</v>
      </c>
      <c r="L19" s="117">
        <v>51.70177792455123</v>
      </c>
      <c r="M19" s="118">
        <v>31.594440978198847</v>
      </c>
      <c r="N19" s="118">
        <v>84.169333515673827</v>
      </c>
      <c r="O19" s="118">
        <v>52.57489253747498</v>
      </c>
      <c r="P19" s="118">
        <v>2.6640551600122726</v>
      </c>
      <c r="Q19" s="118">
        <v>364.17916292487752</v>
      </c>
      <c r="R19" s="119">
        <v>4</v>
      </c>
      <c r="S19" s="124"/>
      <c r="T19" s="126" t="s">
        <v>499</v>
      </c>
      <c r="U19" s="130">
        <v>9.2339115427360099</v>
      </c>
      <c r="V19" s="118">
        <v>650.85307810989241</v>
      </c>
      <c r="W19" s="131">
        <v>0.5937987793857652</v>
      </c>
      <c r="X19" s="131">
        <v>0.43311459690978382</v>
      </c>
      <c r="Y19" s="132">
        <v>0.69395029890724214</v>
      </c>
      <c r="Z19" s="124"/>
    </row>
    <row r="20" spans="2:26" ht="16" thickTop="1" thickBot="1">
      <c r="B20" s="312" t="s">
        <v>522</v>
      </c>
      <c r="C20" s="312"/>
      <c r="D20" s="312"/>
      <c r="E20" s="312"/>
      <c r="F20" s="95"/>
      <c r="K20" s="127" t="s">
        <v>489</v>
      </c>
      <c r="L20" s="120">
        <v>0.4448783604265501</v>
      </c>
      <c r="M20" s="121">
        <v>0.29135417580383183</v>
      </c>
      <c r="N20" s="121">
        <v>0.6485997774915403</v>
      </c>
      <c r="O20" s="121">
        <v>0.35724560168770847</v>
      </c>
      <c r="P20" s="122">
        <v>2.226155762834308</v>
      </c>
      <c r="Q20" s="121">
        <v>1.5328573215567702E-2</v>
      </c>
      <c r="R20" s="123">
        <v>4</v>
      </c>
      <c r="S20" s="124"/>
      <c r="T20" s="127" t="s">
        <v>500</v>
      </c>
      <c r="U20" s="133">
        <v>9.2570113162829699</v>
      </c>
      <c r="V20" s="122">
        <v>712.26873654710221</v>
      </c>
      <c r="W20" s="121">
        <v>0.53969676605421368</v>
      </c>
      <c r="X20" s="121">
        <v>0.30053300517796228</v>
      </c>
      <c r="Y20" s="134">
        <v>0.72384107844227075</v>
      </c>
      <c r="Z20" s="124"/>
    </row>
    <row r="21" spans="2:26" ht="15" thickTop="1">
      <c r="B21" s="312" t="s">
        <v>473</v>
      </c>
      <c r="C21" s="312"/>
      <c r="D21" s="312"/>
      <c r="E21" s="312"/>
      <c r="F21" s="95"/>
    </row>
  </sheetData>
  <mergeCells count="20">
    <mergeCell ref="T16"/>
    <mergeCell ref="B2:E2"/>
    <mergeCell ref="B3:C3"/>
    <mergeCell ref="B4:B6"/>
    <mergeCell ref="B7:E7"/>
    <mergeCell ref="B8:E8"/>
    <mergeCell ref="G2:I2"/>
    <mergeCell ref="K2:R2"/>
    <mergeCell ref="K3"/>
    <mergeCell ref="T2:Y2"/>
    <mergeCell ref="T3"/>
    <mergeCell ref="B15:E15"/>
    <mergeCell ref="T15:Y15"/>
    <mergeCell ref="B17:B19"/>
    <mergeCell ref="B20:E20"/>
    <mergeCell ref="B21:E21"/>
    <mergeCell ref="G15:I15"/>
    <mergeCell ref="K15:R15"/>
    <mergeCell ref="K16"/>
    <mergeCell ref="B16:C16"/>
  </mergeCells>
  <pageMargins left="0.7" right="0.7" top="0.75" bottom="0.75" header="0.3" footer="0.3"/>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S32"/>
  <sheetViews>
    <sheetView topLeftCell="K1" workbookViewId="0">
      <selection activeCell="Y1" sqref="Y1"/>
    </sheetView>
  </sheetViews>
  <sheetFormatPr baseColWidth="10" defaultRowHeight="14" x14ac:dyDescent="0"/>
  <cols>
    <col min="4" max="10" width="11.33203125" style="13" customWidth="1"/>
    <col min="12" max="12" width="21.5" bestFit="1" customWidth="1"/>
    <col min="13" max="13" width="14.33203125" bestFit="1" customWidth="1"/>
  </cols>
  <sheetData>
    <row r="1" spans="3:19" ht="16" thickBot="1">
      <c r="C1" s="320" t="s">
        <v>616</v>
      </c>
      <c r="D1" s="321"/>
      <c r="E1" s="321"/>
      <c r="F1" s="321"/>
      <c r="G1" s="321"/>
      <c r="H1" s="321"/>
      <c r="I1" s="321"/>
      <c r="J1" s="322"/>
      <c r="L1" s="271" t="s">
        <v>617</v>
      </c>
      <c r="M1" s="318"/>
    </row>
    <row r="2" spans="3:19" ht="28">
      <c r="C2" s="169"/>
      <c r="D2" s="30" t="s">
        <v>402</v>
      </c>
      <c r="E2" s="30">
        <v>2</v>
      </c>
      <c r="F2" s="30">
        <v>3</v>
      </c>
      <c r="G2" s="30">
        <v>4</v>
      </c>
      <c r="H2" s="30">
        <v>5</v>
      </c>
      <c r="I2" s="30">
        <v>6</v>
      </c>
      <c r="J2" s="30" t="s">
        <v>403</v>
      </c>
      <c r="L2" s="273" t="s">
        <v>100</v>
      </c>
      <c r="M2" s="186" t="s">
        <v>618</v>
      </c>
    </row>
    <row r="3" spans="3:19" ht="15">
      <c r="C3" s="203" t="s">
        <v>99</v>
      </c>
      <c r="D3" s="31">
        <v>1.5671560000000001E-2</v>
      </c>
      <c r="E3" s="31">
        <v>1.180817E-2</v>
      </c>
      <c r="F3" s="31">
        <v>4.1408519999999997E-2</v>
      </c>
      <c r="G3" s="31">
        <v>0.1205128</v>
      </c>
      <c r="H3" s="31">
        <v>0.23630390000000001</v>
      </c>
      <c r="I3" s="31">
        <v>0.28822999999999999</v>
      </c>
      <c r="J3" s="32">
        <v>0.28606500000000001</v>
      </c>
      <c r="L3" s="274"/>
      <c r="M3" s="186" t="s">
        <v>619</v>
      </c>
      <c r="N3" s="12"/>
      <c r="O3" s="12"/>
      <c r="P3" s="12"/>
      <c r="Q3" s="12"/>
      <c r="R3" s="12"/>
      <c r="S3" s="12"/>
    </row>
    <row r="4" spans="3:19" ht="15">
      <c r="C4" s="204" t="s">
        <v>100</v>
      </c>
      <c r="D4" s="33">
        <v>1.7346130000000001E-2</v>
      </c>
      <c r="E4" s="33">
        <v>1.3030979999999999E-2</v>
      </c>
      <c r="F4" s="33">
        <v>4.5434170000000003E-2</v>
      </c>
      <c r="G4" s="33">
        <v>0.1299476</v>
      </c>
      <c r="H4" s="33">
        <v>0.24535480000000001</v>
      </c>
      <c r="I4" s="33">
        <v>0.2834296</v>
      </c>
      <c r="J4" s="34">
        <v>0.26545669999999999</v>
      </c>
      <c r="L4" s="274" t="s">
        <v>98</v>
      </c>
      <c r="M4" s="186" t="s">
        <v>620</v>
      </c>
      <c r="N4" s="12"/>
      <c r="O4" s="12"/>
      <c r="P4" s="12"/>
      <c r="Q4" s="12"/>
      <c r="R4" s="12"/>
      <c r="S4" s="12"/>
    </row>
    <row r="5" spans="3:19" ht="15">
      <c r="C5" s="205" t="s">
        <v>592</v>
      </c>
      <c r="D5" s="206">
        <f>D4-D3</f>
        <v>1.6745700000000002E-3</v>
      </c>
      <c r="E5" s="206">
        <f t="shared" ref="E5:J5" si="0">E4-E3</f>
        <v>1.2228099999999995E-3</v>
      </c>
      <c r="F5" s="206">
        <f t="shared" si="0"/>
        <v>4.0256500000000056E-3</v>
      </c>
      <c r="G5" s="206">
        <f t="shared" si="0"/>
        <v>9.4347999999999932E-3</v>
      </c>
      <c r="H5" s="206">
        <f t="shared" si="0"/>
        <v>9.0509000000000006E-3</v>
      </c>
      <c r="I5" s="206">
        <f t="shared" si="0"/>
        <v>-4.8003999999999825E-3</v>
      </c>
      <c r="J5" s="206">
        <f t="shared" si="0"/>
        <v>-2.0608300000000024E-2</v>
      </c>
      <c r="L5" s="274"/>
      <c r="M5" s="186" t="s">
        <v>621</v>
      </c>
      <c r="N5" s="12"/>
      <c r="O5" s="12"/>
      <c r="P5" s="12"/>
      <c r="Q5" s="12"/>
      <c r="R5" s="12"/>
      <c r="S5" s="12"/>
    </row>
    <row r="6" spans="3:19" ht="15">
      <c r="C6" s="203" t="s">
        <v>380</v>
      </c>
      <c r="D6" s="33">
        <v>1.486442E-2</v>
      </c>
      <c r="E6" s="33">
        <v>1.121612E-2</v>
      </c>
      <c r="F6" s="33">
        <v>3.944218E-2</v>
      </c>
      <c r="G6" s="33">
        <v>0.1157715</v>
      </c>
      <c r="H6" s="33">
        <v>0.2313383</v>
      </c>
      <c r="I6" s="33">
        <v>0.2902111</v>
      </c>
      <c r="J6" s="34">
        <v>0.29715639999999999</v>
      </c>
      <c r="L6" s="274" t="s">
        <v>362</v>
      </c>
      <c r="M6" s="186" t="s">
        <v>622</v>
      </c>
      <c r="N6" s="12"/>
      <c r="O6" s="12"/>
      <c r="P6" s="12"/>
      <c r="Q6" s="12"/>
      <c r="R6" s="12"/>
      <c r="S6" s="12"/>
    </row>
    <row r="7" spans="3:19" ht="15">
      <c r="C7" s="204" t="s">
        <v>381</v>
      </c>
      <c r="D7" s="33">
        <v>1.6850500000000001E-2</v>
      </c>
      <c r="E7" s="33">
        <v>1.266983E-2</v>
      </c>
      <c r="F7" s="33">
        <v>4.425022E-2</v>
      </c>
      <c r="G7" s="33">
        <v>0.1272103</v>
      </c>
      <c r="H7" s="33">
        <v>0.242841</v>
      </c>
      <c r="I7" s="33">
        <v>0.28493089999999999</v>
      </c>
      <c r="J7" s="34">
        <v>0.27124720000000002</v>
      </c>
      <c r="L7" s="274"/>
      <c r="M7" s="186" t="s">
        <v>623</v>
      </c>
      <c r="N7" s="12"/>
      <c r="O7" s="12"/>
      <c r="P7" s="12"/>
      <c r="Q7" s="12"/>
      <c r="R7" s="12"/>
      <c r="S7" s="12"/>
    </row>
    <row r="8" spans="3:19" ht="15">
      <c r="C8" s="205" t="s">
        <v>592</v>
      </c>
      <c r="D8" s="206">
        <f>D7-D6</f>
        <v>1.9860800000000012E-3</v>
      </c>
      <c r="E8" s="206">
        <f t="shared" ref="E8" si="1">E7-E6</f>
        <v>1.4537100000000004E-3</v>
      </c>
      <c r="F8" s="206">
        <f t="shared" ref="F8" si="2">F7-F6</f>
        <v>4.8080399999999995E-3</v>
      </c>
      <c r="G8" s="206">
        <f t="shared" ref="G8" si="3">G7-G6</f>
        <v>1.1438799999999999E-2</v>
      </c>
      <c r="H8" s="206">
        <f t="shared" ref="H8" si="4">H7-H6</f>
        <v>1.1502700000000005E-2</v>
      </c>
      <c r="I8" s="206">
        <f t="shared" ref="I8" si="5">I7-I6</f>
        <v>-5.2802000000000127E-3</v>
      </c>
      <c r="J8" s="206">
        <f t="shared" ref="J8" si="6">J7-J6</f>
        <v>-2.5909199999999966E-2</v>
      </c>
      <c r="L8" s="274" t="s">
        <v>363</v>
      </c>
      <c r="M8" s="186" t="s">
        <v>624</v>
      </c>
      <c r="N8" s="12"/>
      <c r="O8" s="12"/>
      <c r="P8" s="12"/>
      <c r="Q8" s="12"/>
      <c r="R8" s="12"/>
      <c r="S8" s="12"/>
    </row>
    <row r="9" spans="3:19" ht="15">
      <c r="C9" s="203" t="s">
        <v>383</v>
      </c>
      <c r="D9" s="33">
        <v>1.513023E-2</v>
      </c>
      <c r="E9" s="33">
        <v>1.1411289999999999E-2</v>
      </c>
      <c r="F9" s="33">
        <v>4.0091620000000001E-2</v>
      </c>
      <c r="G9" s="33">
        <v>0.1173472</v>
      </c>
      <c r="H9" s="33">
        <v>0.23302</v>
      </c>
      <c r="I9" s="33">
        <v>0.2895876</v>
      </c>
      <c r="J9" s="34">
        <v>0.29341200000000001</v>
      </c>
      <c r="L9" s="274"/>
      <c r="M9" s="186" t="s">
        <v>625</v>
      </c>
      <c r="N9" s="12"/>
      <c r="O9" s="12"/>
      <c r="P9" s="12"/>
      <c r="Q9" s="12"/>
      <c r="R9" s="12"/>
      <c r="S9" s="12"/>
    </row>
    <row r="10" spans="3:19" ht="15">
      <c r="C10" s="204" t="s">
        <v>364</v>
      </c>
      <c r="D10" s="33">
        <v>1.323742E-2</v>
      </c>
      <c r="E10" s="33">
        <v>1.0017430000000001E-2</v>
      </c>
      <c r="F10" s="33">
        <v>3.5426300000000001E-2</v>
      </c>
      <c r="G10" s="33">
        <v>0.10581110000000001</v>
      </c>
      <c r="H10" s="33">
        <v>0.2199663</v>
      </c>
      <c r="I10" s="33">
        <v>0.29325909999999999</v>
      </c>
      <c r="J10" s="34">
        <v>0.32228230000000002</v>
      </c>
      <c r="L10" s="274" t="s">
        <v>364</v>
      </c>
      <c r="M10" s="186" t="s">
        <v>626</v>
      </c>
      <c r="N10" s="12"/>
      <c r="O10" s="12"/>
      <c r="P10" s="12"/>
      <c r="Q10" s="12"/>
      <c r="R10" s="12"/>
      <c r="S10" s="12"/>
    </row>
    <row r="11" spans="3:19" ht="15">
      <c r="C11" s="205" t="s">
        <v>592</v>
      </c>
      <c r="D11" s="206">
        <f>D10-D9</f>
        <v>-1.89281E-3</v>
      </c>
      <c r="E11" s="206">
        <f t="shared" ref="E11" si="7">E10-E9</f>
        <v>-1.3938599999999985E-3</v>
      </c>
      <c r="F11" s="206">
        <f t="shared" ref="F11" si="8">F10-F9</f>
        <v>-4.6653200000000006E-3</v>
      </c>
      <c r="G11" s="206">
        <f t="shared" ref="G11" si="9">G10-G9</f>
        <v>-1.1536099999999994E-2</v>
      </c>
      <c r="H11" s="206">
        <f t="shared" ref="H11" si="10">H10-H9</f>
        <v>-1.3053700000000001E-2</v>
      </c>
      <c r="I11" s="206">
        <f t="shared" ref="I11" si="11">I10-I9</f>
        <v>3.6714999999999942E-3</v>
      </c>
      <c r="J11" s="206">
        <f t="shared" ref="J11" si="12">J10-J9</f>
        <v>2.8870300000000015E-2</v>
      </c>
      <c r="L11" s="274"/>
      <c r="M11" s="186" t="s">
        <v>627</v>
      </c>
      <c r="N11" s="12"/>
      <c r="O11" s="12"/>
      <c r="P11" s="12"/>
      <c r="Q11" s="12"/>
      <c r="R11" s="12"/>
      <c r="S11" s="12"/>
    </row>
    <row r="12" spans="3:19" ht="15">
      <c r="C12" s="203" t="s">
        <v>385</v>
      </c>
      <c r="D12" s="33">
        <v>1.5671556999999999E-2</v>
      </c>
      <c r="E12" s="33">
        <v>1.1808168000000001E-2</v>
      </c>
      <c r="F12" s="33">
        <v>4.1408519999999997E-2</v>
      </c>
      <c r="G12" s="33">
        <v>0.12051282000000001</v>
      </c>
      <c r="H12" s="33">
        <v>0.23630390000000001</v>
      </c>
      <c r="I12" s="33">
        <v>0.28822999999999999</v>
      </c>
      <c r="J12" s="34">
        <v>0.28606500000000001</v>
      </c>
      <c r="L12" s="274" t="s">
        <v>365</v>
      </c>
      <c r="M12" s="186" t="s">
        <v>628</v>
      </c>
      <c r="N12" s="12"/>
      <c r="O12" s="12"/>
      <c r="P12" s="12"/>
      <c r="Q12" s="12"/>
      <c r="R12" s="12"/>
      <c r="S12" s="12"/>
    </row>
    <row r="13" spans="3:19" ht="15">
      <c r="C13" s="204" t="s">
        <v>365</v>
      </c>
      <c r="D13" s="33">
        <v>8.4930760000000004E-3</v>
      </c>
      <c r="E13" s="33">
        <v>6.4816279999999997E-3</v>
      </c>
      <c r="F13" s="33">
        <v>2.3306750000000001E-2</v>
      </c>
      <c r="G13" s="33">
        <v>7.3391129999999999E-2</v>
      </c>
      <c r="H13" s="33">
        <v>0.17343629999999999</v>
      </c>
      <c r="I13" s="33">
        <v>0.28804000000000002</v>
      </c>
      <c r="J13" s="34">
        <v>0.42685109999999998</v>
      </c>
      <c r="L13" s="274"/>
      <c r="M13" s="186" t="s">
        <v>629</v>
      </c>
      <c r="N13" s="12"/>
      <c r="O13" s="12"/>
      <c r="P13" s="12"/>
      <c r="Q13" s="12"/>
      <c r="R13" s="12"/>
      <c r="S13" s="12"/>
    </row>
    <row r="14" spans="3:19" ht="15">
      <c r="C14" s="205" t="s">
        <v>592</v>
      </c>
      <c r="D14" s="206">
        <f>D13-D12</f>
        <v>-7.1784809999999987E-3</v>
      </c>
      <c r="E14" s="206">
        <f t="shared" ref="E14" si="13">E13-E12</f>
        <v>-5.3265400000000011E-3</v>
      </c>
      <c r="F14" s="206">
        <f t="shared" ref="F14" si="14">F13-F12</f>
        <v>-1.8101769999999996E-2</v>
      </c>
      <c r="G14" s="206">
        <f t="shared" ref="G14" si="15">G13-G12</f>
        <v>-4.7121690000000008E-2</v>
      </c>
      <c r="H14" s="206">
        <f t="shared" ref="H14" si="16">H13-H12</f>
        <v>-6.2867600000000023E-2</v>
      </c>
      <c r="I14" s="206">
        <f t="shared" ref="I14" si="17">I13-I12</f>
        <v>-1.8999999999996797E-4</v>
      </c>
      <c r="J14" s="206">
        <f t="shared" ref="J14" si="18">J13-J12</f>
        <v>0.14078609999999997</v>
      </c>
      <c r="L14" s="274" t="s">
        <v>366</v>
      </c>
      <c r="M14" s="186" t="s">
        <v>630</v>
      </c>
      <c r="N14" s="12"/>
      <c r="O14" s="12"/>
      <c r="P14" s="12"/>
      <c r="Q14" s="12"/>
      <c r="R14" s="12"/>
      <c r="S14" s="12"/>
    </row>
    <row r="15" spans="3:19" ht="15">
      <c r="C15" s="203" t="s">
        <v>387</v>
      </c>
      <c r="D15" s="33">
        <v>8.8146660000000005E-3</v>
      </c>
      <c r="E15" s="33">
        <v>6.723209E-3</v>
      </c>
      <c r="F15" s="33">
        <v>2.414796E-2</v>
      </c>
      <c r="G15" s="33">
        <v>7.5760339999999995E-2</v>
      </c>
      <c r="H15" s="33">
        <v>0.1773652</v>
      </c>
      <c r="I15" s="33">
        <v>0.2894833</v>
      </c>
      <c r="J15" s="34">
        <v>0.4177053</v>
      </c>
      <c r="L15" s="274"/>
      <c r="M15" s="186" t="s">
        <v>631</v>
      </c>
      <c r="N15" s="12"/>
      <c r="O15" s="12"/>
      <c r="P15" s="12"/>
      <c r="Q15" s="12"/>
      <c r="R15" s="12"/>
      <c r="S15" s="12"/>
    </row>
    <row r="16" spans="3:19" ht="15">
      <c r="C16" s="204" t="s">
        <v>388</v>
      </c>
      <c r="D16" s="33">
        <v>2.6896772999999999E-2</v>
      </c>
      <c r="E16" s="33">
        <v>1.9864316999999999E-2</v>
      </c>
      <c r="F16" s="33">
        <v>6.7062590000000005E-2</v>
      </c>
      <c r="G16" s="33">
        <v>0.17475887000000001</v>
      </c>
      <c r="H16" s="33">
        <v>0.27414319999999998</v>
      </c>
      <c r="I16" s="33">
        <v>0.24975349999999999</v>
      </c>
      <c r="J16" s="34">
        <v>0.18752070000000001</v>
      </c>
      <c r="L16" s="274" t="s">
        <v>367</v>
      </c>
      <c r="M16" s="186" t="s">
        <v>632</v>
      </c>
      <c r="N16" s="12"/>
      <c r="O16" s="12"/>
      <c r="P16" s="12"/>
      <c r="Q16" s="12"/>
      <c r="R16" s="12"/>
      <c r="S16" s="12"/>
    </row>
    <row r="17" spans="3:19" ht="15">
      <c r="C17" s="205" t="s">
        <v>592</v>
      </c>
      <c r="D17" s="206">
        <f>D16-D15</f>
        <v>1.8082107E-2</v>
      </c>
      <c r="E17" s="206">
        <f t="shared" ref="E17" si="19">E16-E15</f>
        <v>1.3141107999999999E-2</v>
      </c>
      <c r="F17" s="206">
        <f t="shared" ref="F17" si="20">F16-F15</f>
        <v>4.2914630000000009E-2</v>
      </c>
      <c r="G17" s="206">
        <f t="shared" ref="G17" si="21">G16-G15</f>
        <v>9.8998530000000015E-2</v>
      </c>
      <c r="H17" s="206">
        <f t="shared" ref="H17" si="22">H16-H15</f>
        <v>9.6777999999999975E-2</v>
      </c>
      <c r="I17" s="206">
        <f t="shared" ref="I17" si="23">I16-I15</f>
        <v>-3.972980000000001E-2</v>
      </c>
      <c r="J17" s="206">
        <f t="shared" ref="J17" si="24">J16-J15</f>
        <v>-0.23018459999999999</v>
      </c>
      <c r="L17" s="274"/>
      <c r="M17" s="186" t="s">
        <v>633</v>
      </c>
      <c r="N17" s="12"/>
      <c r="O17" s="12"/>
      <c r="P17" s="12"/>
      <c r="Q17" s="12"/>
      <c r="R17" s="12"/>
      <c r="S17" s="12"/>
    </row>
    <row r="18" spans="3:19" ht="15">
      <c r="C18" s="203" t="s">
        <v>607</v>
      </c>
      <c r="D18" s="33">
        <v>1.5671560000000001E-2</v>
      </c>
      <c r="E18" s="33">
        <v>1.1808168000000001E-2</v>
      </c>
      <c r="F18" s="33">
        <v>4.1408519999999997E-2</v>
      </c>
      <c r="G18" s="33">
        <v>0.1205128</v>
      </c>
      <c r="H18" s="33">
        <v>0.23630390000000001</v>
      </c>
      <c r="I18" s="33">
        <v>0.28822999999999999</v>
      </c>
      <c r="J18" s="34">
        <v>0.28606500000000001</v>
      </c>
      <c r="L18" s="274" t="s">
        <v>368</v>
      </c>
      <c r="M18" s="186" t="s">
        <v>634</v>
      </c>
      <c r="N18" s="12"/>
      <c r="O18" s="12"/>
      <c r="P18" s="12"/>
      <c r="Q18" s="12"/>
      <c r="R18" s="12"/>
      <c r="S18" s="12"/>
    </row>
    <row r="19" spans="3:19" ht="15">
      <c r="C19" s="204" t="s">
        <v>608</v>
      </c>
      <c r="D19" s="33">
        <v>1.2615289999999999E-2</v>
      </c>
      <c r="E19" s="33">
        <v>9.5572130000000002E-3</v>
      </c>
      <c r="F19" s="33">
        <v>3.3872079999999999E-2</v>
      </c>
      <c r="G19" s="33">
        <v>0.1018544</v>
      </c>
      <c r="H19" s="33">
        <v>0.21508550000000001</v>
      </c>
      <c r="I19" s="33">
        <v>0.29399049999999999</v>
      </c>
      <c r="J19" s="34">
        <v>0.33302500000000002</v>
      </c>
      <c r="L19" s="274"/>
      <c r="M19" s="186" t="s">
        <v>635</v>
      </c>
      <c r="N19" s="12"/>
      <c r="O19" s="12"/>
      <c r="P19" s="12"/>
      <c r="Q19" s="12"/>
      <c r="R19" s="12"/>
      <c r="S19" s="12"/>
    </row>
    <row r="20" spans="3:19" ht="15">
      <c r="C20" s="205" t="s">
        <v>592</v>
      </c>
      <c r="D20" s="206">
        <f>D19-D18</f>
        <v>-3.0562700000000016E-3</v>
      </c>
      <c r="E20" s="206">
        <f t="shared" ref="E20" si="25">E19-E18</f>
        <v>-2.2509550000000007E-3</v>
      </c>
      <c r="F20" s="206">
        <f t="shared" ref="F20" si="26">F19-F18</f>
        <v>-7.5364399999999984E-3</v>
      </c>
      <c r="G20" s="206">
        <f t="shared" ref="G20" si="27">G19-G18</f>
        <v>-1.8658400000000006E-2</v>
      </c>
      <c r="H20" s="206">
        <f t="shared" ref="H20" si="28">H19-H18</f>
        <v>-2.1218399999999998E-2</v>
      </c>
      <c r="I20" s="206">
        <f t="shared" ref="I20" si="29">I19-I18</f>
        <v>5.7605000000000017E-3</v>
      </c>
      <c r="J20" s="206">
        <f t="shared" ref="J20" si="30">J19-J18</f>
        <v>4.6960000000000002E-2</v>
      </c>
      <c r="L20" s="274" t="s">
        <v>369</v>
      </c>
      <c r="M20" s="186" t="s">
        <v>636</v>
      </c>
      <c r="N20" s="12"/>
      <c r="O20" s="12"/>
      <c r="P20" s="12"/>
      <c r="Q20" s="12"/>
      <c r="R20" s="12"/>
      <c r="S20" s="12"/>
    </row>
    <row r="21" spans="3:19" ht="15">
      <c r="C21" s="203" t="s">
        <v>609</v>
      </c>
      <c r="D21" s="33">
        <v>1.5671556999999999E-2</v>
      </c>
      <c r="E21" s="33">
        <v>1.1808168000000001E-2</v>
      </c>
      <c r="F21" s="33">
        <v>4.1408519999999997E-2</v>
      </c>
      <c r="G21" s="33">
        <v>0.12051282000000001</v>
      </c>
      <c r="H21" s="33">
        <v>0.23630390000000001</v>
      </c>
      <c r="I21" s="33">
        <v>0.28822999999999999</v>
      </c>
      <c r="J21" s="34">
        <v>0.28606500000000001</v>
      </c>
      <c r="L21" s="274"/>
      <c r="M21" s="186" t="s">
        <v>637</v>
      </c>
      <c r="N21" s="12"/>
      <c r="O21" s="12"/>
      <c r="P21" s="12"/>
      <c r="Q21" s="12"/>
      <c r="R21" s="12"/>
      <c r="S21" s="12"/>
    </row>
    <row r="22" spans="3:19" ht="15.75" customHeight="1">
      <c r="C22" s="204" t="s">
        <v>610</v>
      </c>
      <c r="D22" s="33">
        <v>9.8982380000000002E-3</v>
      </c>
      <c r="E22" s="33">
        <v>7.535145E-3</v>
      </c>
      <c r="F22" s="33">
        <v>2.6960990000000001E-2</v>
      </c>
      <c r="G22" s="33">
        <v>8.355137E-2</v>
      </c>
      <c r="H22" s="33">
        <v>0.18967329999999999</v>
      </c>
      <c r="I22" s="33">
        <v>0.29283799999999999</v>
      </c>
      <c r="J22" s="34">
        <v>0.38954290000000003</v>
      </c>
      <c r="L22" s="319" t="s">
        <v>638</v>
      </c>
      <c r="M22" s="186" t="s">
        <v>639</v>
      </c>
      <c r="N22" s="12"/>
      <c r="O22" s="12"/>
      <c r="P22" s="12"/>
      <c r="Q22" s="12"/>
      <c r="R22" s="12"/>
      <c r="S22" s="12"/>
    </row>
    <row r="23" spans="3:19" ht="15">
      <c r="C23" s="205" t="s">
        <v>592</v>
      </c>
      <c r="D23" s="206">
        <f>D22-D21</f>
        <v>-5.773318999999999E-3</v>
      </c>
      <c r="E23" s="206">
        <f t="shared" ref="E23" si="31">E22-E21</f>
        <v>-4.2730230000000008E-3</v>
      </c>
      <c r="F23" s="206">
        <f t="shared" ref="F23" si="32">F22-F21</f>
        <v>-1.4447529999999997E-2</v>
      </c>
      <c r="G23" s="206">
        <f t="shared" ref="G23" si="33">G22-G21</f>
        <v>-3.6961450000000007E-2</v>
      </c>
      <c r="H23" s="206">
        <f t="shared" ref="H23" si="34">H22-H21</f>
        <v>-4.6630600000000022E-2</v>
      </c>
      <c r="I23" s="206">
        <f t="shared" ref="I23" si="35">I22-I21</f>
        <v>4.608000000000001E-3</v>
      </c>
      <c r="J23" s="206">
        <f t="shared" ref="J23" si="36">J22-J21</f>
        <v>0.10347790000000001</v>
      </c>
      <c r="L23" s="319"/>
      <c r="M23" s="186" t="s">
        <v>640</v>
      </c>
      <c r="N23" s="12"/>
      <c r="O23" s="12"/>
      <c r="P23" s="12"/>
      <c r="Q23" s="12"/>
      <c r="R23" s="12"/>
      <c r="S23" s="12"/>
    </row>
    <row r="24" spans="3:19" ht="15.75" customHeight="1">
      <c r="C24" s="203" t="s">
        <v>611</v>
      </c>
      <c r="D24" s="33">
        <v>1.2956199999999999E-2</v>
      </c>
      <c r="E24" s="33">
        <v>9.8095270000000002E-3</v>
      </c>
      <c r="F24" s="33">
        <v>3.4725039999999999E-2</v>
      </c>
      <c r="G24" s="33">
        <v>0.104033</v>
      </c>
      <c r="H24" s="33">
        <v>0.21779889999999999</v>
      </c>
      <c r="I24" s="33">
        <v>0.29362450000000001</v>
      </c>
      <c r="J24" s="34">
        <v>0.32705279999999998</v>
      </c>
      <c r="L24" s="319" t="s">
        <v>571</v>
      </c>
      <c r="M24" s="186" t="s">
        <v>641</v>
      </c>
      <c r="N24" s="12"/>
      <c r="O24" s="12"/>
      <c r="P24" s="12"/>
      <c r="Q24" s="12"/>
      <c r="R24" s="12"/>
      <c r="S24" s="12"/>
    </row>
    <row r="25" spans="3:19" ht="15">
      <c r="C25" s="204" t="s">
        <v>612</v>
      </c>
      <c r="D25" s="33">
        <v>2.948661E-2</v>
      </c>
      <c r="E25" s="33">
        <v>2.1676445999999999E-2</v>
      </c>
      <c r="F25" s="33">
        <v>7.2556309999999999E-2</v>
      </c>
      <c r="G25" s="33">
        <v>0.184665</v>
      </c>
      <c r="H25" s="33">
        <v>0.27746349999999997</v>
      </c>
      <c r="I25" s="33">
        <v>0.24061969999999999</v>
      </c>
      <c r="J25" s="34">
        <v>0.17353250000000001</v>
      </c>
      <c r="L25" s="319"/>
      <c r="M25" s="186" t="s">
        <v>642</v>
      </c>
      <c r="N25" s="12"/>
      <c r="O25" s="12"/>
      <c r="P25" s="12"/>
      <c r="Q25" s="12"/>
      <c r="R25" s="12"/>
      <c r="S25" s="12"/>
    </row>
    <row r="26" spans="3:19" ht="15.75" customHeight="1">
      <c r="C26" s="205" t="s">
        <v>592</v>
      </c>
      <c r="D26" s="206">
        <f>D25-D24</f>
        <v>1.6530410000000002E-2</v>
      </c>
      <c r="E26" s="206">
        <f t="shared" ref="E26" si="37">E25-E24</f>
        <v>1.1866918999999998E-2</v>
      </c>
      <c r="F26" s="206">
        <f t="shared" ref="F26" si="38">F25-F24</f>
        <v>3.783127E-2</v>
      </c>
      <c r="G26" s="206">
        <f t="shared" ref="G26" si="39">G25-G24</f>
        <v>8.0631999999999995E-2</v>
      </c>
      <c r="H26" s="206">
        <f t="shared" ref="H26" si="40">H25-H24</f>
        <v>5.9664599999999984E-2</v>
      </c>
      <c r="I26" s="206">
        <f t="shared" ref="I26" si="41">I25-I24</f>
        <v>-5.3004800000000019E-2</v>
      </c>
      <c r="J26" s="206">
        <f t="shared" ref="J26" si="42">J25-J24</f>
        <v>-0.15352029999999997</v>
      </c>
      <c r="L26" s="319" t="s">
        <v>643</v>
      </c>
      <c r="M26" s="186" t="s">
        <v>644</v>
      </c>
      <c r="N26" s="12"/>
      <c r="O26" s="12"/>
      <c r="P26" s="12"/>
      <c r="Q26" s="12"/>
      <c r="R26" s="12"/>
      <c r="S26" s="12"/>
    </row>
    <row r="27" spans="3:19" ht="15">
      <c r="C27" s="203" t="s">
        <v>613</v>
      </c>
      <c r="D27" s="33">
        <v>1.865789E-2</v>
      </c>
      <c r="E27" s="33">
        <v>1.398369E-2</v>
      </c>
      <c r="F27" s="33">
        <v>4.8537520000000001E-2</v>
      </c>
      <c r="G27" s="33">
        <v>0.1369766</v>
      </c>
      <c r="H27" s="33">
        <v>0.25139790000000001</v>
      </c>
      <c r="I27" s="33">
        <v>0.27921069999999998</v>
      </c>
      <c r="J27" s="34">
        <v>0.25123570000000001</v>
      </c>
      <c r="L27" s="319"/>
      <c r="M27" s="186" t="s">
        <v>645</v>
      </c>
      <c r="N27" s="12"/>
      <c r="O27" s="12"/>
      <c r="P27" s="12"/>
      <c r="Q27" s="12"/>
      <c r="R27" s="12"/>
      <c r="S27" s="12"/>
    </row>
    <row r="28" spans="3:19">
      <c r="C28" s="204" t="s">
        <v>614</v>
      </c>
      <c r="D28" s="33">
        <v>1.5671560000000001E-2</v>
      </c>
      <c r="E28" s="33">
        <v>1.180817E-2</v>
      </c>
      <c r="F28" s="33">
        <v>4.1408519999999997E-2</v>
      </c>
      <c r="G28" s="33">
        <v>0.1205128</v>
      </c>
      <c r="H28" s="33">
        <v>0.23630390000000001</v>
      </c>
      <c r="I28" s="33">
        <v>0.28822999999999999</v>
      </c>
      <c r="J28" s="34">
        <v>0.28606500000000001</v>
      </c>
      <c r="L28" s="227" t="s">
        <v>646</v>
      </c>
      <c r="M28" s="275"/>
      <c r="N28" s="12"/>
      <c r="O28" s="12"/>
      <c r="P28" s="12"/>
      <c r="Q28" s="12"/>
      <c r="R28" s="12"/>
      <c r="S28" s="12"/>
    </row>
    <row r="29" spans="3:19" ht="15">
      <c r="C29" s="205" t="s">
        <v>592</v>
      </c>
      <c r="D29" s="206">
        <f>D28-D27</f>
        <v>-2.9863299999999988E-3</v>
      </c>
      <c r="E29" s="206">
        <f t="shared" ref="E29" si="43">E28-E27</f>
        <v>-2.1755200000000002E-3</v>
      </c>
      <c r="F29" s="206">
        <f t="shared" ref="F29" si="44">F28-F27</f>
        <v>-7.1290000000000034E-3</v>
      </c>
      <c r="G29" s="206">
        <f t="shared" ref="G29" si="45">G28-G27</f>
        <v>-1.6463800000000001E-2</v>
      </c>
      <c r="H29" s="206">
        <f t="shared" ref="H29" si="46">H28-H27</f>
        <v>-1.5093999999999996E-2</v>
      </c>
      <c r="I29" s="206">
        <f t="shared" ref="I29" si="47">I28-I27</f>
        <v>9.0193000000000079E-3</v>
      </c>
      <c r="J29" s="206">
        <f t="shared" ref="J29" si="48">J28-J27</f>
        <v>3.4829300000000007E-2</v>
      </c>
      <c r="L29" s="187" t="s">
        <v>589</v>
      </c>
      <c r="M29" s="188">
        <v>0.27600000000000002</v>
      </c>
      <c r="N29" s="12"/>
      <c r="O29" s="12"/>
      <c r="P29" s="12"/>
      <c r="Q29" s="12"/>
      <c r="R29" s="12"/>
      <c r="S29" s="12"/>
    </row>
    <row r="30" spans="3:19" ht="16" thickBot="1">
      <c r="C30" s="323" t="s">
        <v>400</v>
      </c>
      <c r="D30" s="323"/>
      <c r="E30" s="323"/>
      <c r="F30" s="323"/>
      <c r="G30" s="323"/>
      <c r="H30" s="323"/>
      <c r="I30" s="323"/>
      <c r="J30" s="323"/>
      <c r="L30" s="189" t="s">
        <v>374</v>
      </c>
      <c r="M30" s="8">
        <v>682</v>
      </c>
      <c r="N30" s="12"/>
      <c r="O30" s="12"/>
      <c r="P30" s="12"/>
      <c r="Q30" s="12"/>
      <c r="R30" s="12"/>
      <c r="S30" s="12"/>
    </row>
    <row r="31" spans="3:19" ht="16" thickBot="1">
      <c r="C31" s="324" t="s">
        <v>615</v>
      </c>
      <c r="D31" s="325"/>
      <c r="E31" s="325"/>
      <c r="F31" s="325"/>
      <c r="G31" s="325"/>
      <c r="H31" s="325"/>
      <c r="I31" s="325"/>
      <c r="J31" s="326"/>
      <c r="L31" s="276" t="s">
        <v>590</v>
      </c>
      <c r="M31" s="327"/>
      <c r="N31" s="12"/>
      <c r="O31" s="12"/>
      <c r="P31" s="12"/>
      <c r="Q31" s="12"/>
      <c r="R31" s="12"/>
      <c r="S31" s="12"/>
    </row>
    <row r="32" spans="3:19" ht="16" thickBot="1">
      <c r="L32" s="271" t="s">
        <v>591</v>
      </c>
      <c r="M32" s="318"/>
    </row>
  </sheetData>
  <mergeCells count="20">
    <mergeCell ref="C1:J1"/>
    <mergeCell ref="C30:J30"/>
    <mergeCell ref="C31:J31"/>
    <mergeCell ref="L1:M1"/>
    <mergeCell ref="L2:L3"/>
    <mergeCell ref="L4:L5"/>
    <mergeCell ref="L6:L7"/>
    <mergeCell ref="L8:L9"/>
    <mergeCell ref="L10:L11"/>
    <mergeCell ref="L12:L13"/>
    <mergeCell ref="L26:L27"/>
    <mergeCell ref="L28:M28"/>
    <mergeCell ref="L31:M31"/>
    <mergeCell ref="L32:M32"/>
    <mergeCell ref="L14:L15"/>
    <mergeCell ref="L16:L17"/>
    <mergeCell ref="L18:L19"/>
    <mergeCell ref="L20:L21"/>
    <mergeCell ref="L22:L23"/>
    <mergeCell ref="L24:L25"/>
  </mergeCells>
  <pageMargins left="0.7" right="0.7" top="0.75" bottom="0.75" header="0.3" footer="0.3"/>
  <pageSetup orientation="portrait"/>
  <drawing r:id="rId1"/>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G66"/>
  <sheetViews>
    <sheetView tabSelected="1" topLeftCell="BJ28" workbookViewId="0">
      <selection activeCell="BQ35" sqref="BQ35"/>
    </sheetView>
  </sheetViews>
  <sheetFormatPr baseColWidth="10" defaultRowHeight="14" x14ac:dyDescent="0"/>
  <cols>
    <col min="10" max="10" width="23.5" style="200" bestFit="1" customWidth="1"/>
    <col min="11" max="11" width="15.1640625" style="200" bestFit="1" customWidth="1"/>
    <col min="12" max="12" width="13.33203125" style="200" bestFit="1" customWidth="1"/>
    <col min="13" max="13" width="10.83203125" style="200"/>
    <col min="16" max="16" width="23.5" bestFit="1" customWidth="1"/>
    <col min="17" max="17" width="18.1640625" bestFit="1" customWidth="1"/>
    <col min="18" max="19" width="18.5" bestFit="1" customWidth="1"/>
    <col min="20" max="20" width="20.1640625" bestFit="1" customWidth="1"/>
    <col min="22" max="22" width="23.5" bestFit="1" customWidth="1"/>
    <col min="23" max="24" width="13.5" bestFit="1" customWidth="1"/>
    <col min="25" max="25" width="19.1640625" bestFit="1" customWidth="1"/>
    <col min="26" max="26" width="18.5" bestFit="1" customWidth="1"/>
    <col min="28" max="28" width="23.5" bestFit="1" customWidth="1"/>
    <col min="29" max="29" width="33.33203125" bestFit="1" customWidth="1"/>
    <col min="30" max="30" width="35.5" bestFit="1" customWidth="1"/>
    <col min="32" max="32" width="23.5" bestFit="1" customWidth="1"/>
    <col min="33" max="33" width="16.5" bestFit="1" customWidth="1"/>
    <col min="34" max="34" width="14" bestFit="1" customWidth="1"/>
    <col min="35" max="35" width="15.33203125" bestFit="1" customWidth="1"/>
    <col min="38" max="38" width="23.5" bestFit="1" customWidth="1"/>
    <col min="39" max="39" width="14" bestFit="1" customWidth="1"/>
    <col min="40" max="40" width="17.33203125" bestFit="1" customWidth="1"/>
    <col min="41" max="41" width="19.6640625" bestFit="1" customWidth="1"/>
    <col min="45" max="45" width="23.5" bestFit="1" customWidth="1"/>
    <col min="46" max="46" width="52.5" bestFit="1" customWidth="1"/>
    <col min="47" max="47" width="39.1640625" bestFit="1" customWidth="1"/>
    <col min="48" max="48" width="25.33203125" customWidth="1"/>
    <col min="50" max="50" width="23.1640625" style="6" bestFit="1" customWidth="1"/>
    <col min="51" max="51" width="34" style="6" bestFit="1" customWidth="1"/>
    <col min="52" max="52" width="35.5" style="6" bestFit="1" customWidth="1"/>
    <col min="54" max="54" width="23.5" bestFit="1" customWidth="1"/>
    <col min="55" max="55" width="20.1640625" bestFit="1" customWidth="1"/>
    <col min="56" max="56" width="21.6640625" bestFit="1" customWidth="1"/>
    <col min="57" max="57" width="22" bestFit="1" customWidth="1"/>
    <col min="59" max="59" width="23.5" bestFit="1" customWidth="1"/>
    <col min="60" max="60" width="18.1640625" bestFit="1" customWidth="1"/>
    <col min="61" max="61" width="20" bestFit="1" customWidth="1"/>
    <col min="62" max="62" width="18" bestFit="1" customWidth="1"/>
    <col min="64" max="64" width="23.5" bestFit="1" customWidth="1"/>
    <col min="65" max="65" width="21" bestFit="1" customWidth="1"/>
    <col min="66" max="66" width="23" bestFit="1" customWidth="1"/>
    <col min="67" max="67" width="20.83203125" bestFit="1" customWidth="1"/>
    <col min="69" max="69" width="23.5" bestFit="1" customWidth="1"/>
    <col min="70" max="70" width="12.5" bestFit="1" customWidth="1"/>
    <col min="71" max="71" width="12.33203125" bestFit="1" customWidth="1"/>
    <col min="72" max="72" width="12" bestFit="1" customWidth="1"/>
    <col min="73" max="73" width="13" bestFit="1" customWidth="1"/>
    <col min="75" max="75" width="23.1640625" bestFit="1" customWidth="1"/>
    <col min="76" max="76" width="32.83203125" bestFit="1" customWidth="1"/>
    <col min="77" max="77" width="35.83203125" bestFit="1" customWidth="1"/>
    <col min="79" max="79" width="23.5" bestFit="1" customWidth="1"/>
    <col min="80" max="80" width="22.6640625" bestFit="1" customWidth="1"/>
    <col min="81" max="81" width="23.83203125" bestFit="1" customWidth="1"/>
    <col min="83" max="83" width="23.5" bestFit="1" customWidth="1"/>
    <col min="84" max="84" width="17.33203125" bestFit="1" customWidth="1"/>
    <col min="85" max="85" width="18.83203125" bestFit="1" customWidth="1"/>
    <col min="89" max="89" width="23.5" bestFit="1" customWidth="1"/>
    <col min="90" max="90" width="12.5" bestFit="1" customWidth="1"/>
    <col min="91" max="91" width="14.6640625" bestFit="1" customWidth="1"/>
    <col min="92" max="92" width="12.33203125" bestFit="1" customWidth="1"/>
    <col min="97" max="97" width="23.5" bestFit="1" customWidth="1"/>
    <col min="98" max="98" width="13.83203125" bestFit="1" customWidth="1"/>
    <col min="99" max="99" width="15" bestFit="1" customWidth="1"/>
    <col min="103" max="103" width="23.5" bestFit="1" customWidth="1"/>
    <col min="104" max="104" width="16.33203125" bestFit="1" customWidth="1"/>
    <col min="105" max="105" width="17.5" bestFit="1" customWidth="1"/>
    <col min="106" max="106" width="32" bestFit="1" customWidth="1"/>
    <col min="108" max="108" width="23.5" bestFit="1" customWidth="1"/>
    <col min="109" max="109" width="31.6640625" bestFit="1" customWidth="1"/>
    <col min="110" max="110" width="24" bestFit="1" customWidth="1"/>
    <col min="111" max="111" width="28.5" bestFit="1" customWidth="1"/>
  </cols>
  <sheetData>
    <row r="2" spans="2:111">
      <c r="J2" s="199"/>
      <c r="K2" s="199" t="s">
        <v>647</v>
      </c>
      <c r="L2" s="199" t="s">
        <v>648</v>
      </c>
      <c r="P2" s="199"/>
      <c r="Q2" s="199" t="s">
        <v>664</v>
      </c>
      <c r="R2" s="199" t="s">
        <v>650</v>
      </c>
      <c r="S2" s="199" t="s">
        <v>322</v>
      </c>
      <c r="T2" s="199" t="s">
        <v>651</v>
      </c>
      <c r="V2" s="199"/>
      <c r="W2" s="199" t="s">
        <v>652</v>
      </c>
      <c r="X2" s="199" t="s">
        <v>653</v>
      </c>
      <c r="Y2" s="199" t="s">
        <v>654</v>
      </c>
      <c r="Z2" s="199" t="s">
        <v>655</v>
      </c>
      <c r="AB2" s="199"/>
      <c r="AC2" s="199" t="s">
        <v>665</v>
      </c>
      <c r="AD2" s="199" t="s">
        <v>656</v>
      </c>
      <c r="AF2" s="199"/>
      <c r="AG2" s="199" t="s">
        <v>657</v>
      </c>
      <c r="AH2" s="199" t="s">
        <v>658</v>
      </c>
      <c r="AI2" s="199" t="s">
        <v>659</v>
      </c>
      <c r="AL2" s="199"/>
      <c r="AM2" s="169" t="s">
        <v>661</v>
      </c>
      <c r="AN2" s="169" t="s">
        <v>660</v>
      </c>
      <c r="AO2" s="169" t="s">
        <v>662</v>
      </c>
      <c r="AS2" s="198"/>
      <c r="AT2" s="199" t="s">
        <v>736</v>
      </c>
      <c r="AU2" s="199" t="s">
        <v>739</v>
      </c>
      <c r="AV2" s="199" t="s">
        <v>740</v>
      </c>
      <c r="AX2" s="199"/>
      <c r="AY2" s="199" t="s">
        <v>666</v>
      </c>
      <c r="AZ2" s="199" t="s">
        <v>667</v>
      </c>
      <c r="BB2" s="199"/>
      <c r="BC2" s="199" t="s">
        <v>669</v>
      </c>
      <c r="BD2" s="199" t="s">
        <v>670</v>
      </c>
      <c r="BE2" s="199" t="s">
        <v>671</v>
      </c>
      <c r="BG2" s="199"/>
      <c r="BH2" s="199" t="s">
        <v>338</v>
      </c>
      <c r="BI2" s="199" t="s">
        <v>672</v>
      </c>
      <c r="BJ2" s="199" t="s">
        <v>673</v>
      </c>
      <c r="BL2" s="199"/>
      <c r="BM2" s="199" t="s">
        <v>674</v>
      </c>
      <c r="BN2" s="199" t="s">
        <v>356</v>
      </c>
      <c r="BO2" s="199" t="s">
        <v>675</v>
      </c>
      <c r="BQ2" s="199"/>
      <c r="BR2" s="199" t="s">
        <v>676</v>
      </c>
      <c r="BS2" s="199" t="s">
        <v>342</v>
      </c>
      <c r="BT2" s="199" t="s">
        <v>677</v>
      </c>
      <c r="BU2" s="199" t="s">
        <v>344</v>
      </c>
      <c r="BW2" s="199"/>
      <c r="BX2" s="199" t="s">
        <v>678</v>
      </c>
      <c r="BY2" s="199" t="s">
        <v>679</v>
      </c>
      <c r="CA2" s="199"/>
      <c r="CB2" s="199" t="s">
        <v>347</v>
      </c>
      <c r="CC2" s="199" t="s">
        <v>348</v>
      </c>
      <c r="CE2" s="199"/>
      <c r="CF2" s="199" t="s">
        <v>680</v>
      </c>
      <c r="CG2" s="199" t="s">
        <v>681</v>
      </c>
      <c r="CK2" s="199"/>
      <c r="CL2" s="199" t="s">
        <v>682</v>
      </c>
      <c r="CM2" s="199" t="s">
        <v>683</v>
      </c>
      <c r="CN2" s="199" t="s">
        <v>684</v>
      </c>
      <c r="CS2" s="199"/>
      <c r="CT2" s="199" t="s">
        <v>686</v>
      </c>
      <c r="CU2" s="199" t="s">
        <v>687</v>
      </c>
      <c r="CY2" s="199"/>
      <c r="CZ2" s="199" t="s">
        <v>688</v>
      </c>
      <c r="DA2" s="199" t="s">
        <v>689</v>
      </c>
      <c r="DB2" s="199" t="s">
        <v>690</v>
      </c>
      <c r="DD2" s="199"/>
      <c r="DE2" s="170" t="s">
        <v>691</v>
      </c>
      <c r="DF2" s="170" t="s">
        <v>692</v>
      </c>
      <c r="DG2" s="170" t="s">
        <v>693</v>
      </c>
    </row>
    <row r="3" spans="2:111">
      <c r="B3" s="27" t="s">
        <v>316</v>
      </c>
      <c r="C3" s="26">
        <v>10.43901867253618</v>
      </c>
      <c r="J3" s="199" t="s">
        <v>316</v>
      </c>
      <c r="K3" s="199">
        <v>10.876132930513595</v>
      </c>
      <c r="L3" s="199">
        <v>10.095497953615281</v>
      </c>
      <c r="P3" s="199" t="s">
        <v>316</v>
      </c>
      <c r="Q3" s="199">
        <v>8.7999999999999989</v>
      </c>
      <c r="R3" s="199">
        <v>9.3198992443324933</v>
      </c>
      <c r="S3" s="199">
        <v>11.396011396011396</v>
      </c>
      <c r="T3" s="199">
        <v>14.338235294117647</v>
      </c>
      <c r="V3" s="199" t="s">
        <v>316</v>
      </c>
      <c r="W3" s="199">
        <v>11.343283582089553</v>
      </c>
      <c r="X3" s="199">
        <v>10.260336906584993</v>
      </c>
      <c r="Y3" s="199">
        <v>9.5652173913043477</v>
      </c>
      <c r="Z3" s="199">
        <v>10.104529616724738</v>
      </c>
      <c r="AB3" s="199" t="s">
        <v>316</v>
      </c>
      <c r="AC3" s="199">
        <v>9.3333333333333339</v>
      </c>
      <c r="AD3" s="199">
        <v>10.607225211375864</v>
      </c>
      <c r="AF3" s="199" t="s">
        <v>316</v>
      </c>
      <c r="AG3" s="199">
        <v>7.6595744680851059</v>
      </c>
      <c r="AH3" s="199">
        <v>11.383285302593659</v>
      </c>
      <c r="AI3" s="199">
        <v>17.532467532467532</v>
      </c>
      <c r="AL3" s="199" t="s">
        <v>316</v>
      </c>
      <c r="AM3" s="198">
        <v>9.8214285714285712</v>
      </c>
      <c r="AN3" s="198">
        <v>11.297709923664122</v>
      </c>
      <c r="AO3" s="198">
        <v>12.560386473429952</v>
      </c>
      <c r="AS3" s="198" t="s">
        <v>316</v>
      </c>
      <c r="AT3" s="199">
        <v>21.904761904761905</v>
      </c>
      <c r="AU3" s="199">
        <v>17.672413793103448</v>
      </c>
      <c r="AV3" s="199">
        <v>7.4324324324324325</v>
      </c>
      <c r="AX3" s="199" t="s">
        <v>316</v>
      </c>
      <c r="AY3" s="199">
        <v>12.37785016286645</v>
      </c>
      <c r="AZ3" s="199">
        <v>10.303030303030303</v>
      </c>
      <c r="BB3" s="199" t="s">
        <v>316</v>
      </c>
      <c r="BC3" s="199">
        <v>6.9343065693430654</v>
      </c>
      <c r="BD3" s="199">
        <v>13.084112149532709</v>
      </c>
      <c r="BE3" s="199">
        <v>10.586734693877551</v>
      </c>
      <c r="BG3" s="199" t="s">
        <v>316</v>
      </c>
      <c r="BH3" s="199">
        <v>9.5384615384615383</v>
      </c>
      <c r="BI3" s="199">
        <v>10.985915492957748</v>
      </c>
      <c r="BJ3" s="199">
        <v>10.85383502170767</v>
      </c>
      <c r="BL3" s="199" t="s">
        <v>316</v>
      </c>
      <c r="BM3" s="199">
        <v>6.9819819819819822</v>
      </c>
      <c r="BN3" s="199">
        <v>11.292719167904904</v>
      </c>
      <c r="BO3" s="199">
        <v>15.217391304347826</v>
      </c>
      <c r="BQ3" s="199" t="s">
        <v>316</v>
      </c>
      <c r="BR3" s="199">
        <v>9.6907216494845372</v>
      </c>
      <c r="BS3" s="199">
        <v>11.660079051383399</v>
      </c>
      <c r="BT3" s="199">
        <v>10.670731707317072</v>
      </c>
      <c r="BU3" s="199">
        <v>6.4516129032258061</v>
      </c>
      <c r="BW3" s="199" t="s">
        <v>316</v>
      </c>
      <c r="BX3" s="199">
        <v>16.326530612244898</v>
      </c>
      <c r="BY3" s="199">
        <v>9.5108695652173907</v>
      </c>
      <c r="CA3" s="199" t="s">
        <v>316</v>
      </c>
      <c r="CB3" s="199">
        <v>5.7</v>
      </c>
      <c r="CC3" s="199">
        <v>11</v>
      </c>
      <c r="CE3" s="199" t="s">
        <v>316</v>
      </c>
      <c r="CF3" s="199">
        <v>12.100456621004566</v>
      </c>
      <c r="CG3" s="199">
        <v>9.2413793103448274</v>
      </c>
      <c r="CK3" s="199" t="s">
        <v>316</v>
      </c>
      <c r="CL3" s="199">
        <v>13.888888888888889</v>
      </c>
      <c r="CM3" s="199">
        <v>10.966057441253264</v>
      </c>
      <c r="CN3" s="199">
        <v>11.659192825112108</v>
      </c>
      <c r="CS3" s="199" t="s">
        <v>316</v>
      </c>
      <c r="CT3" s="199">
        <v>11.028632025450689</v>
      </c>
      <c r="CU3" s="199">
        <v>8.9244851258581228</v>
      </c>
      <c r="CY3" s="199" t="s">
        <v>316</v>
      </c>
      <c r="CZ3" s="199">
        <v>10.661268556005398</v>
      </c>
      <c r="DA3" s="199">
        <v>10.223642172523961</v>
      </c>
      <c r="DB3" s="199">
        <v>11.403508771929825</v>
      </c>
      <c r="DD3" s="199" t="s">
        <v>316</v>
      </c>
      <c r="DE3" s="199">
        <v>5.8201058201058204</v>
      </c>
      <c r="DF3" s="199">
        <v>14.841849148418492</v>
      </c>
      <c r="DG3" s="199">
        <v>9.0277777777777786</v>
      </c>
    </row>
    <row r="4" spans="2:111">
      <c r="B4" s="27" t="s">
        <v>317</v>
      </c>
      <c r="C4" s="26">
        <v>89.560981327463821</v>
      </c>
      <c r="J4" s="199" t="s">
        <v>649</v>
      </c>
      <c r="K4" s="199">
        <v>89.123867069486408</v>
      </c>
      <c r="L4" s="199">
        <v>89.904502046384721</v>
      </c>
      <c r="P4" s="199" t="s">
        <v>649</v>
      </c>
      <c r="Q4" s="199">
        <v>91.2</v>
      </c>
      <c r="R4" s="199">
        <v>90.680100755667496</v>
      </c>
      <c r="S4" s="199">
        <v>88.603988603988597</v>
      </c>
      <c r="T4" s="199">
        <v>85.661764705882348</v>
      </c>
      <c r="V4" s="199" t="s">
        <v>649</v>
      </c>
      <c r="W4" s="199">
        <v>88.656716417910459</v>
      </c>
      <c r="X4" s="199">
        <v>89.739663093415004</v>
      </c>
      <c r="Y4" s="199">
        <v>90.434782608695656</v>
      </c>
      <c r="Z4" s="199">
        <v>89.895470383275267</v>
      </c>
      <c r="AB4" s="199" t="s">
        <v>649</v>
      </c>
      <c r="AC4" s="199">
        <v>90.666666666666671</v>
      </c>
      <c r="AD4" s="199">
        <v>89.392774788624138</v>
      </c>
      <c r="AF4" s="199" t="s">
        <v>649</v>
      </c>
      <c r="AG4" s="199">
        <v>92.340425531914889</v>
      </c>
      <c r="AH4" s="199">
        <v>88.616714697406337</v>
      </c>
      <c r="AI4" s="199">
        <v>82.467532467532465</v>
      </c>
      <c r="AL4" s="199" t="s">
        <v>649</v>
      </c>
      <c r="AM4" s="198">
        <v>90.178571428571431</v>
      </c>
      <c r="AN4" s="198">
        <v>88.702290076335885</v>
      </c>
      <c r="AO4" s="198">
        <v>87.439613526570042</v>
      </c>
      <c r="AS4" s="198" t="s">
        <v>649</v>
      </c>
      <c r="AT4" s="199">
        <v>78.095238095238102</v>
      </c>
      <c r="AU4" s="199">
        <v>82.327586206896555</v>
      </c>
      <c r="AV4" s="199">
        <v>92.567567567567565</v>
      </c>
      <c r="AX4" s="199" t="s">
        <v>668</v>
      </c>
      <c r="AY4" s="199">
        <v>87.622149837133549</v>
      </c>
      <c r="AZ4" s="199">
        <v>89.696969696969703</v>
      </c>
      <c r="BB4" s="199" t="s">
        <v>649</v>
      </c>
      <c r="BC4" s="199">
        <v>93.065693430656935</v>
      </c>
      <c r="BD4" s="199">
        <v>86.915887850467286</v>
      </c>
      <c r="BE4" s="199">
        <v>89.413265306122454</v>
      </c>
      <c r="BG4" s="199" t="s">
        <v>649</v>
      </c>
      <c r="BH4" s="199">
        <v>90.461538461538453</v>
      </c>
      <c r="BI4" s="199">
        <v>89.014084507042256</v>
      </c>
      <c r="BJ4" s="199">
        <v>89.146164978292333</v>
      </c>
      <c r="BL4" s="199" t="s">
        <v>649</v>
      </c>
      <c r="BM4" s="199">
        <v>93.018018018018012</v>
      </c>
      <c r="BN4" s="199">
        <v>88.707280832095094</v>
      </c>
      <c r="BO4" s="199">
        <v>84.782608695652172</v>
      </c>
      <c r="BQ4" s="199" t="s">
        <v>649</v>
      </c>
      <c r="BR4" s="199">
        <v>90.30927835051547</v>
      </c>
      <c r="BS4" s="199">
        <v>88.339920948616594</v>
      </c>
      <c r="BT4" s="199">
        <v>89.329268292682926</v>
      </c>
      <c r="BU4" s="199">
        <v>93.548387096774192</v>
      </c>
      <c r="BW4" s="199" t="s">
        <v>668</v>
      </c>
      <c r="BX4" s="199">
        <v>83.673469387755105</v>
      </c>
      <c r="BY4" s="199">
        <v>90.489130434782609</v>
      </c>
      <c r="CA4" s="199" t="s">
        <v>649</v>
      </c>
      <c r="CB4" s="199">
        <v>94.3</v>
      </c>
      <c r="CC4" s="199">
        <v>89</v>
      </c>
      <c r="CE4" s="199" t="s">
        <v>649</v>
      </c>
      <c r="CF4" s="199">
        <v>87.899543378995432</v>
      </c>
      <c r="CG4" s="199">
        <v>90.758620689655174</v>
      </c>
      <c r="CK4" s="199" t="s">
        <v>649</v>
      </c>
      <c r="CL4" s="199">
        <v>86.111111111111114</v>
      </c>
      <c r="CM4" s="199">
        <v>89.03394255874673</v>
      </c>
      <c r="CN4" s="199">
        <v>88.340807174887885</v>
      </c>
      <c r="CS4" s="199" t="s">
        <v>649</v>
      </c>
      <c r="CT4" s="199">
        <v>88.97136797454931</v>
      </c>
      <c r="CU4" s="199">
        <v>91.075514874141874</v>
      </c>
      <c r="CY4" s="199" t="s">
        <v>649</v>
      </c>
      <c r="CZ4" s="199">
        <v>89.338731443994604</v>
      </c>
      <c r="DA4" s="199">
        <v>89.776357827476033</v>
      </c>
      <c r="DB4" s="199">
        <v>88.596491228070178</v>
      </c>
      <c r="DD4" s="199" t="s">
        <v>649</v>
      </c>
      <c r="DE4" s="199">
        <v>94.179894179894177</v>
      </c>
      <c r="DF4" s="199">
        <v>85.15815085158151</v>
      </c>
      <c r="DG4" s="199">
        <v>90.972222222222229</v>
      </c>
    </row>
    <row r="5" spans="2:111">
      <c r="AT5" s="6"/>
      <c r="AU5" s="6"/>
      <c r="AV5" s="6"/>
    </row>
    <row r="26" spans="65:68">
      <c r="BM26">
        <f>BM29*100/BP29</f>
        <v>16.33986928104575</v>
      </c>
      <c r="BN26">
        <f>BN29/BP29*100</f>
        <v>66.085693536673929</v>
      </c>
      <c r="BO26">
        <f>BO29/BP29*100</f>
        <v>17.57443718228032</v>
      </c>
    </row>
    <row r="27" spans="65:68">
      <c r="BM27">
        <v>19</v>
      </c>
      <c r="BN27">
        <v>94</v>
      </c>
      <c r="BO27">
        <v>32</v>
      </c>
    </row>
    <row r="28" spans="65:68">
      <c r="BM28">
        <v>206</v>
      </c>
      <c r="BN28">
        <v>816</v>
      </c>
      <c r="BO28">
        <v>210</v>
      </c>
    </row>
    <row r="29" spans="65:68">
      <c r="BM29">
        <f>BM27+BM28</f>
        <v>225</v>
      </c>
      <c r="BN29">
        <f>BN27+BN28</f>
        <v>910</v>
      </c>
      <c r="BO29">
        <f>BO27+BO28</f>
        <v>242</v>
      </c>
      <c r="BP29">
        <f>BO29+BN29+BM29</f>
        <v>1377</v>
      </c>
    </row>
    <row r="33" spans="64:67">
      <c r="BL33" s="199"/>
      <c r="BM33" s="199" t="s">
        <v>725</v>
      </c>
      <c r="BN33" s="199" t="s">
        <v>731</v>
      </c>
      <c r="BO33" s="199" t="s">
        <v>732</v>
      </c>
    </row>
    <row r="34" spans="64:67">
      <c r="BL34" s="199" t="s">
        <v>316</v>
      </c>
      <c r="BM34" s="199">
        <f>BM27/$BM$29*100</f>
        <v>8.4444444444444446</v>
      </c>
      <c r="BN34" s="199">
        <f>BN27/$BN$29*100</f>
        <v>10.329670329670328</v>
      </c>
      <c r="BO34" s="199">
        <f>BO27/$BO$29*100</f>
        <v>13.223140495867769</v>
      </c>
    </row>
    <row r="35" spans="64:67">
      <c r="BL35" s="199" t="s">
        <v>649</v>
      </c>
      <c r="BM35" s="199">
        <f>BM28/$BM$29*100</f>
        <v>91.555555555555557</v>
      </c>
      <c r="BN35" s="199">
        <f>BN28/$BN$29*100</f>
        <v>89.670329670329679</v>
      </c>
      <c r="BO35" s="199">
        <f>BO28/$BO$29*100</f>
        <v>86.776859504132233</v>
      </c>
    </row>
    <row r="58" spans="64:68">
      <c r="BM58">
        <f>BM61*100/BP61</f>
        <v>31.613372093023255</v>
      </c>
      <c r="BN58">
        <f>BN61*100/BP61</f>
        <v>57.049418604651166</v>
      </c>
      <c r="BO58">
        <f>BO61*100/BP61</f>
        <v>11.337209302325581</v>
      </c>
    </row>
    <row r="59" spans="64:68">
      <c r="BM59">
        <v>31</v>
      </c>
      <c r="BN59">
        <v>96</v>
      </c>
      <c r="BO59">
        <v>18</v>
      </c>
    </row>
    <row r="60" spans="64:68">
      <c r="BM60">
        <v>404</v>
      </c>
      <c r="BN60">
        <v>689</v>
      </c>
      <c r="BO60">
        <v>138</v>
      </c>
    </row>
    <row r="61" spans="64:68">
      <c r="BM61">
        <f>BM59+BM60</f>
        <v>435</v>
      </c>
      <c r="BN61">
        <f t="shared" ref="BN61:BO61" si="0">BN59+BN60</f>
        <v>785</v>
      </c>
      <c r="BO61">
        <f t="shared" si="0"/>
        <v>156</v>
      </c>
      <c r="BP61">
        <f>SUM(BM61:BO61)</f>
        <v>1376</v>
      </c>
    </row>
    <row r="64" spans="64:68">
      <c r="BL64" s="199"/>
      <c r="BM64" s="199" t="s">
        <v>733</v>
      </c>
      <c r="BN64" s="199" t="s">
        <v>735</v>
      </c>
      <c r="BO64" s="199" t="s">
        <v>734</v>
      </c>
    </row>
    <row r="65" spans="64:67">
      <c r="BL65" s="199" t="s">
        <v>316</v>
      </c>
      <c r="BM65" s="199">
        <f>BM59*100/$BM$61</f>
        <v>7.1264367816091951</v>
      </c>
      <c r="BN65" s="199">
        <f>BN59*100/$BN$61</f>
        <v>12.229299363057326</v>
      </c>
      <c r="BO65" s="199">
        <f>BO59*100/$BO$61</f>
        <v>11.538461538461538</v>
      </c>
    </row>
    <row r="66" spans="64:67">
      <c r="BL66" s="199" t="s">
        <v>649</v>
      </c>
      <c r="BM66" s="199">
        <f>BM60*100/$BM$61</f>
        <v>92.8735632183908</v>
      </c>
      <c r="BN66" s="199">
        <f>BN60*100/$BN$61</f>
        <v>87.770700636942678</v>
      </c>
      <c r="BO66" s="199">
        <f>BO60*100/$BO$61</f>
        <v>88.461538461538467</v>
      </c>
    </row>
  </sheetData>
  <pageMargins left="0.7" right="0.7" top="0.75" bottom="0.75" header="0.3" footer="0.3"/>
  <drawing r:id="rId1"/>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G5"/>
  <sheetViews>
    <sheetView topLeftCell="Q1" workbookViewId="0">
      <selection activeCell="AA22" sqref="AA22"/>
    </sheetView>
  </sheetViews>
  <sheetFormatPr baseColWidth="10" defaultRowHeight="14" x14ac:dyDescent="0"/>
  <cols>
    <col min="2" max="2" width="14.5" bestFit="1" customWidth="1"/>
    <col min="3" max="3" width="11.5" customWidth="1"/>
    <col min="9" max="9" width="14.5" bestFit="1" customWidth="1"/>
    <col min="10" max="10" width="15.1640625" bestFit="1" customWidth="1"/>
    <col min="11" max="11" width="13.33203125" bestFit="1" customWidth="1"/>
    <col min="16" max="16" width="14.5" bestFit="1" customWidth="1"/>
    <col min="17" max="19" width="18.5" bestFit="1" customWidth="1"/>
    <col min="20" max="20" width="20.1640625" bestFit="1" customWidth="1"/>
    <col min="22" max="22" width="14.5" bestFit="1" customWidth="1"/>
    <col min="23" max="24" width="13.5" bestFit="1" customWidth="1"/>
    <col min="25" max="25" width="19" bestFit="1" customWidth="1"/>
    <col min="26" max="26" width="19.5" bestFit="1" customWidth="1"/>
    <col min="28" max="28" width="14.5" bestFit="1" customWidth="1"/>
    <col min="29" max="29" width="18.1640625" bestFit="1" customWidth="1"/>
    <col min="30" max="30" width="20.33203125" bestFit="1" customWidth="1"/>
    <col min="34" max="34" width="14.5" bestFit="1" customWidth="1"/>
    <col min="35" max="35" width="16.5" bestFit="1" customWidth="1"/>
    <col min="36" max="36" width="14" bestFit="1" customWidth="1"/>
    <col min="37" max="37" width="15.33203125" bestFit="1" customWidth="1"/>
    <col min="38" max="38" width="13.83203125" bestFit="1" customWidth="1"/>
    <col min="41" max="41" width="14.5" bestFit="1" customWidth="1"/>
    <col min="42" max="42" width="18.5" bestFit="1" customWidth="1"/>
    <col min="43" max="43" width="19.6640625" bestFit="1" customWidth="1"/>
    <col min="48" max="48" width="14.5" bestFit="1" customWidth="1"/>
    <col min="49" max="49" width="14.1640625" bestFit="1" customWidth="1"/>
    <col min="50" max="50" width="15.33203125" bestFit="1" customWidth="1"/>
  </cols>
  <sheetData>
    <row r="2" spans="2:59">
      <c r="I2" s="199"/>
      <c r="J2" s="199" t="s">
        <v>696</v>
      </c>
      <c r="K2" s="199" t="s">
        <v>697</v>
      </c>
      <c r="P2" s="199"/>
      <c r="Q2" s="199" t="s">
        <v>698</v>
      </c>
      <c r="R2" s="199" t="s">
        <v>699</v>
      </c>
      <c r="S2" s="199" t="s">
        <v>700</v>
      </c>
      <c r="T2" s="199" t="s">
        <v>701</v>
      </c>
      <c r="V2" s="199"/>
      <c r="W2" s="199" t="s">
        <v>702</v>
      </c>
      <c r="X2" s="199" t="s">
        <v>703</v>
      </c>
      <c r="Y2" s="199" t="s">
        <v>704</v>
      </c>
      <c r="Z2" s="199" t="s">
        <v>705</v>
      </c>
      <c r="AB2" s="199"/>
      <c r="AC2" s="199" t="s">
        <v>706</v>
      </c>
      <c r="AD2" s="199" t="s">
        <v>707</v>
      </c>
      <c r="AH2" s="199"/>
      <c r="AI2" s="199" t="s">
        <v>708</v>
      </c>
      <c r="AJ2" s="199" t="s">
        <v>709</v>
      </c>
      <c r="AK2" s="199" t="s">
        <v>710</v>
      </c>
      <c r="AL2" s="199" t="s">
        <v>711</v>
      </c>
      <c r="AO2" s="199"/>
      <c r="AP2" s="199" t="s">
        <v>712</v>
      </c>
      <c r="AQ2" s="199" t="s">
        <v>713</v>
      </c>
      <c r="AV2" s="199"/>
      <c r="AW2" s="199" t="s">
        <v>714</v>
      </c>
      <c r="AX2" s="199" t="s">
        <v>715</v>
      </c>
      <c r="BD2" s="199"/>
      <c r="BE2" s="199" t="s">
        <v>716</v>
      </c>
      <c r="BF2" s="199" t="s">
        <v>717</v>
      </c>
      <c r="BG2" s="199" t="s">
        <v>718</v>
      </c>
    </row>
    <row r="3" spans="2:59">
      <c r="B3" s="199" t="s">
        <v>694</v>
      </c>
      <c r="C3" s="199">
        <v>44.71400382777275</v>
      </c>
      <c r="I3" s="199" t="s">
        <v>694</v>
      </c>
      <c r="J3" s="199">
        <v>48.863636363636367</v>
      </c>
      <c r="K3" s="199">
        <v>40.654843110504778</v>
      </c>
      <c r="P3" s="199" t="s">
        <v>694</v>
      </c>
      <c r="Q3" s="199">
        <v>47.286821705426355</v>
      </c>
      <c r="R3" s="199">
        <v>45.161290322580648</v>
      </c>
      <c r="S3" s="199">
        <v>46.875</v>
      </c>
      <c r="T3" s="199">
        <v>38.07692307692308</v>
      </c>
      <c r="V3" s="199" t="s">
        <v>694</v>
      </c>
      <c r="W3" s="199">
        <v>34.226190476190474</v>
      </c>
      <c r="X3" s="199">
        <v>45.007451564828614</v>
      </c>
      <c r="Y3" s="199">
        <v>44.845360824742265</v>
      </c>
      <c r="Z3" s="199">
        <v>59.656652360515018</v>
      </c>
      <c r="AB3" s="199" t="s">
        <v>694</v>
      </c>
      <c r="AC3" s="199">
        <v>29.545454545454547</v>
      </c>
      <c r="AD3" s="199">
        <v>45.771513353115729</v>
      </c>
      <c r="AH3" s="199" t="s">
        <v>694</v>
      </c>
      <c r="AI3" s="199">
        <v>61.818181818181813</v>
      </c>
      <c r="AJ3" s="199">
        <v>48.86685552407932</v>
      </c>
      <c r="AK3" s="199">
        <v>40.816326530612244</v>
      </c>
      <c r="AL3" s="199">
        <v>28.021978021978022</v>
      </c>
      <c r="AO3" s="199" t="s">
        <v>694</v>
      </c>
      <c r="AP3" s="199">
        <v>55.217391304347828</v>
      </c>
      <c r="AQ3" s="199">
        <v>39.958376690946928</v>
      </c>
      <c r="AV3" s="199" t="s">
        <v>694</v>
      </c>
      <c r="AW3" s="199">
        <v>44.018058690744923</v>
      </c>
      <c r="AX3" s="199">
        <v>46.05263157894737</v>
      </c>
      <c r="BD3" s="199" t="s">
        <v>694</v>
      </c>
      <c r="BE3" s="199">
        <v>49.159663865546221</v>
      </c>
      <c r="BF3" s="199">
        <v>42.918454935622314</v>
      </c>
      <c r="BG3" s="199">
        <v>34.883720930232556</v>
      </c>
    </row>
    <row r="4" spans="2:59">
      <c r="B4" s="199" t="s">
        <v>695</v>
      </c>
      <c r="C4" s="199">
        <v>21.459852006653577</v>
      </c>
      <c r="I4" s="199" t="s">
        <v>695</v>
      </c>
      <c r="J4" s="199">
        <v>22.869318181818183</v>
      </c>
      <c r="K4" s="199">
        <v>20.190995907230558</v>
      </c>
      <c r="P4" s="199" t="s">
        <v>695</v>
      </c>
      <c r="Q4" s="199">
        <v>25.581395348837209</v>
      </c>
      <c r="R4" s="199">
        <v>22.8110599078341</v>
      </c>
      <c r="S4" s="199">
        <v>18.46590909090909</v>
      </c>
      <c r="T4" s="199">
        <v>17.692307692307693</v>
      </c>
      <c r="V4" s="199" t="s">
        <v>695</v>
      </c>
      <c r="W4" s="199">
        <v>17.261904761904763</v>
      </c>
      <c r="X4" s="199">
        <v>20.417287630402384</v>
      </c>
      <c r="Y4" s="199">
        <v>30.927835051546392</v>
      </c>
      <c r="Z4" s="199">
        <v>22.317596566523605</v>
      </c>
      <c r="AB4" s="199" t="s">
        <v>695</v>
      </c>
      <c r="AC4" s="199">
        <v>29.545454545454547</v>
      </c>
      <c r="AD4" s="199">
        <v>20.919881305637983</v>
      </c>
      <c r="AH4" s="199" t="s">
        <v>695</v>
      </c>
      <c r="AI4" s="199">
        <v>18.181818181818183</v>
      </c>
      <c r="AJ4" s="199">
        <v>21.813031161473088</v>
      </c>
      <c r="AK4" s="199">
        <v>33.333333333333336</v>
      </c>
      <c r="AL4" s="199">
        <v>17.857142857142858</v>
      </c>
      <c r="AO4" s="199" t="s">
        <v>695</v>
      </c>
      <c r="AP4" s="199">
        <v>22.391304347826086</v>
      </c>
      <c r="AQ4" s="199">
        <v>21.019771071800207</v>
      </c>
      <c r="AV4" s="199" t="s">
        <v>695</v>
      </c>
      <c r="AW4" s="199">
        <v>25.620767494356659</v>
      </c>
      <c r="AX4" s="199">
        <v>14.473684210526315</v>
      </c>
      <c r="BD4" s="199" t="s">
        <v>695</v>
      </c>
      <c r="BE4" s="199">
        <v>21.84873949579832</v>
      </c>
      <c r="BF4" s="199">
        <v>23.819742489270386</v>
      </c>
      <c r="BG4" s="199">
        <v>16.279069767441861</v>
      </c>
    </row>
    <row r="5" spans="2:59">
      <c r="B5" s="199" t="s">
        <v>5</v>
      </c>
      <c r="C5" s="199">
        <v>33.826144165573666</v>
      </c>
      <c r="I5" s="199" t="s">
        <v>5</v>
      </c>
      <c r="J5" s="199">
        <v>28.267045454545453</v>
      </c>
      <c r="K5" s="199">
        <v>39.154160982264663</v>
      </c>
      <c r="P5" s="199" t="s">
        <v>5</v>
      </c>
      <c r="Q5" s="199">
        <v>27.131782945736433</v>
      </c>
      <c r="R5" s="199">
        <v>32.027649769585253</v>
      </c>
      <c r="S5" s="199">
        <v>34.659090909090907</v>
      </c>
      <c r="T5" s="199">
        <v>44.230769230769234</v>
      </c>
      <c r="V5" s="199" t="s">
        <v>5</v>
      </c>
      <c r="W5" s="199">
        <v>48.511904761904759</v>
      </c>
      <c r="X5" s="199">
        <v>34.575260804769002</v>
      </c>
      <c r="Y5" s="199">
        <v>24.226804123711339</v>
      </c>
      <c r="Z5" s="199">
        <v>18.025751072961373</v>
      </c>
      <c r="AB5" s="199" t="s">
        <v>5</v>
      </c>
      <c r="AC5" s="199">
        <v>40.909090909090907</v>
      </c>
      <c r="AD5" s="199">
        <v>33.308605341246292</v>
      </c>
      <c r="AH5" s="199" t="s">
        <v>5</v>
      </c>
      <c r="AI5" s="199">
        <v>20</v>
      </c>
      <c r="AJ5" s="199">
        <v>29.320113314447593</v>
      </c>
      <c r="AK5" s="199">
        <v>25.85034013605442</v>
      </c>
      <c r="AL5" s="199">
        <v>54.120879120879124</v>
      </c>
      <c r="AO5" s="199" t="s">
        <v>5</v>
      </c>
      <c r="AP5" s="199">
        <v>22.391304347826086</v>
      </c>
      <c r="AQ5" s="199">
        <v>39.021852237252858</v>
      </c>
      <c r="AV5" s="199" t="s">
        <v>5</v>
      </c>
      <c r="AW5" s="199">
        <v>30.361173814898422</v>
      </c>
      <c r="AX5" s="199">
        <v>39.473684210526315</v>
      </c>
      <c r="BD5" s="199" t="s">
        <v>5</v>
      </c>
      <c r="BE5" s="199">
        <v>28.991596638655462</v>
      </c>
      <c r="BF5" s="199">
        <v>33.261802575107296</v>
      </c>
      <c r="BG5" s="199">
        <v>48.837209302325583</v>
      </c>
    </row>
  </sheetData>
  <pageMargins left="0.7" right="0.7" top="0.75" bottom="0.75" header="0.3" footer="0.3"/>
  <drawing r:id="rId1"/>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4"/>
  <sheetViews>
    <sheetView workbookViewId="0">
      <selection activeCell="O15" sqref="O15"/>
    </sheetView>
  </sheetViews>
  <sheetFormatPr baseColWidth="10" defaultRowHeight="14" x14ac:dyDescent="0"/>
  <cols>
    <col min="2" max="2" width="21.83203125" bestFit="1" customWidth="1"/>
    <col min="3" max="3" width="6.33203125" bestFit="1" customWidth="1"/>
  </cols>
  <sheetData>
    <row r="2" spans="2:3" ht="15">
      <c r="B2" s="331" t="s">
        <v>721</v>
      </c>
      <c r="C2" s="332"/>
    </row>
    <row r="3" spans="2:3">
      <c r="B3" s="333" t="s">
        <v>720</v>
      </c>
      <c r="C3" s="207">
        <v>1.8402227</v>
      </c>
    </row>
    <row r="4" spans="2:3">
      <c r="B4" s="328"/>
      <c r="C4" s="208">
        <v>0.4385097</v>
      </c>
    </row>
    <row r="5" spans="2:3">
      <c r="B5" s="328" t="s">
        <v>100</v>
      </c>
      <c r="C5" s="208">
        <v>-0.33181759999999999</v>
      </c>
    </row>
    <row r="6" spans="2:3">
      <c r="B6" s="328"/>
      <c r="C6" s="208">
        <v>0.1738198</v>
      </c>
    </row>
    <row r="7" spans="2:3">
      <c r="B7" s="328" t="s">
        <v>98</v>
      </c>
      <c r="C7" s="208">
        <v>-8.0559999999999996E-4</v>
      </c>
    </row>
    <row r="8" spans="2:3">
      <c r="B8" s="328"/>
      <c r="C8" s="208">
        <v>6.0736000000000002E-3</v>
      </c>
    </row>
    <row r="9" spans="2:3">
      <c r="B9" s="328" t="s">
        <v>362</v>
      </c>
      <c r="C9" s="208">
        <v>0.2418006</v>
      </c>
    </row>
    <row r="10" spans="2:3">
      <c r="B10" s="328"/>
      <c r="C10" s="208">
        <v>0.2305017</v>
      </c>
    </row>
    <row r="11" spans="2:3">
      <c r="B11" s="328" t="s">
        <v>363</v>
      </c>
      <c r="C11" s="208">
        <v>1.40801E-2</v>
      </c>
    </row>
    <row r="12" spans="2:3">
      <c r="B12" s="328"/>
      <c r="C12" s="208">
        <v>0.2919775</v>
      </c>
    </row>
    <row r="13" spans="2:3">
      <c r="B13" s="328" t="s">
        <v>364</v>
      </c>
      <c r="C13" s="208">
        <v>0.3992426</v>
      </c>
    </row>
    <row r="14" spans="2:3">
      <c r="B14" s="328"/>
      <c r="C14" s="208">
        <v>0.29792580000000002</v>
      </c>
    </row>
    <row r="15" spans="2:3">
      <c r="B15" s="328" t="s">
        <v>365</v>
      </c>
      <c r="C15" s="208">
        <v>-0.65009340000000004</v>
      </c>
    </row>
    <row r="16" spans="2:3">
      <c r="B16" s="328"/>
      <c r="C16" s="208">
        <v>0.34983730000000002</v>
      </c>
    </row>
    <row r="17" spans="2:3">
      <c r="B17" s="328" t="s">
        <v>366</v>
      </c>
      <c r="C17" s="208">
        <v>-0.131913</v>
      </c>
    </row>
    <row r="18" spans="2:3">
      <c r="B18" s="328"/>
      <c r="C18" s="208">
        <v>4.0655400000000001E-2</v>
      </c>
    </row>
    <row r="19" spans="2:3">
      <c r="B19" s="328" t="s">
        <v>580</v>
      </c>
      <c r="C19" s="208">
        <v>-4.9820299999999998E-2</v>
      </c>
    </row>
    <row r="20" spans="2:3">
      <c r="B20" s="328"/>
      <c r="C20" s="208">
        <v>0.17521490000000001</v>
      </c>
    </row>
    <row r="21" spans="2:3">
      <c r="B21" s="328" t="s">
        <v>719</v>
      </c>
      <c r="C21" s="208">
        <v>-0.24747369999999999</v>
      </c>
    </row>
    <row r="22" spans="2:3" ht="15" thickBot="1">
      <c r="B22" s="329"/>
      <c r="C22" s="209">
        <v>0.21873029999999999</v>
      </c>
    </row>
    <row r="23" spans="2:3" ht="16" thickBot="1">
      <c r="B23" s="216" t="s">
        <v>722</v>
      </c>
      <c r="C23" s="330"/>
    </row>
    <row r="24" spans="2:3" ht="16" thickBot="1">
      <c r="B24" s="271" t="s">
        <v>591</v>
      </c>
      <c r="C24" s="318"/>
    </row>
  </sheetData>
  <mergeCells count="13">
    <mergeCell ref="B11:B12"/>
    <mergeCell ref="B2:C2"/>
    <mergeCell ref="B3:B4"/>
    <mergeCell ref="B5:B6"/>
    <mergeCell ref="B7:B8"/>
    <mergeCell ref="B9:B10"/>
    <mergeCell ref="B24:C24"/>
    <mergeCell ref="B13:B14"/>
    <mergeCell ref="B15:B16"/>
    <mergeCell ref="B17:B18"/>
    <mergeCell ref="B19:B20"/>
    <mergeCell ref="B21:B22"/>
    <mergeCell ref="B23:C23"/>
  </mergeCells>
  <pageMargins left="0.7" right="0.7" top="0.75" bottom="0.75" header="0.3" footer="0.3"/>
  <drawing r:id="rId1"/>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26"/>
  <sheetViews>
    <sheetView topLeftCell="A9" workbookViewId="0">
      <selection activeCell="L30" sqref="L30"/>
    </sheetView>
  </sheetViews>
  <sheetFormatPr baseColWidth="10" defaultRowHeight="14" x14ac:dyDescent="0"/>
  <sheetData>
    <row r="2" spans="2:14">
      <c r="B2" s="336" t="s">
        <v>543</v>
      </c>
      <c r="C2" s="336"/>
      <c r="D2" s="336"/>
      <c r="E2" s="336"/>
      <c r="F2" s="336"/>
      <c r="G2" s="336"/>
      <c r="H2" s="336"/>
      <c r="I2" s="336"/>
      <c r="J2" s="336"/>
      <c r="K2" s="336"/>
      <c r="L2" s="336"/>
      <c r="M2" s="336"/>
      <c r="N2" s="336"/>
    </row>
    <row r="3" spans="2:14" ht="15" thickBot="1">
      <c r="B3" s="171" t="s">
        <v>544</v>
      </c>
      <c r="C3" s="172"/>
      <c r="D3" s="172"/>
      <c r="E3" s="172"/>
      <c r="F3" s="172"/>
      <c r="G3" s="172"/>
      <c r="H3" s="172"/>
      <c r="I3" s="172"/>
      <c r="J3" s="172"/>
      <c r="K3" s="172"/>
      <c r="L3" s="172"/>
      <c r="M3" s="172"/>
      <c r="N3" s="172"/>
    </row>
    <row r="4" spans="2:14" ht="15" thickTop="1">
      <c r="B4" s="337" t="s">
        <v>354</v>
      </c>
      <c r="C4" s="338"/>
      <c r="D4" s="341" t="s">
        <v>545</v>
      </c>
      <c r="E4" s="342"/>
      <c r="F4" s="342"/>
      <c r="G4" s="342"/>
      <c r="H4" s="342"/>
      <c r="I4" s="342"/>
      <c r="J4" s="342"/>
      <c r="K4" s="342"/>
      <c r="L4" s="342"/>
      <c r="M4" s="342"/>
      <c r="N4" s="343" t="s">
        <v>117</v>
      </c>
    </row>
    <row r="5" spans="2:14" ht="24" thickBot="1">
      <c r="B5" s="339"/>
      <c r="C5" s="340"/>
      <c r="D5" s="173" t="s">
        <v>546</v>
      </c>
      <c r="E5" s="174" t="s">
        <v>453</v>
      </c>
      <c r="F5" s="174" t="s">
        <v>454</v>
      </c>
      <c r="G5" s="174" t="s">
        <v>455</v>
      </c>
      <c r="H5" s="174" t="s">
        <v>456</v>
      </c>
      <c r="I5" s="174" t="s">
        <v>457</v>
      </c>
      <c r="J5" s="174" t="s">
        <v>458</v>
      </c>
      <c r="K5" s="174" t="s">
        <v>459</v>
      </c>
      <c r="L5" s="174" t="s">
        <v>460</v>
      </c>
      <c r="M5" s="174" t="s">
        <v>547</v>
      </c>
      <c r="N5" s="344"/>
    </row>
    <row r="6" spans="2:14" ht="23" thickTop="1">
      <c r="B6" s="345" t="s">
        <v>548</v>
      </c>
      <c r="C6" s="175" t="s">
        <v>311</v>
      </c>
      <c r="D6" s="176">
        <v>9</v>
      </c>
      <c r="E6" s="177">
        <v>5</v>
      </c>
      <c r="F6" s="177">
        <v>20</v>
      </c>
      <c r="G6" s="177">
        <v>16</v>
      </c>
      <c r="H6" s="177">
        <v>40</v>
      </c>
      <c r="I6" s="177">
        <v>29</v>
      </c>
      <c r="J6" s="177">
        <v>32</v>
      </c>
      <c r="K6" s="177">
        <v>33</v>
      </c>
      <c r="L6" s="177">
        <v>22</v>
      </c>
      <c r="M6" s="177">
        <v>36</v>
      </c>
      <c r="N6" s="178">
        <v>242</v>
      </c>
    </row>
    <row r="7" spans="2:14">
      <c r="B7" s="346"/>
      <c r="C7" s="179" t="s">
        <v>312</v>
      </c>
      <c r="D7" s="180">
        <v>33</v>
      </c>
      <c r="E7" s="181">
        <v>32</v>
      </c>
      <c r="F7" s="181">
        <v>47</v>
      </c>
      <c r="G7" s="181">
        <v>38</v>
      </c>
      <c r="H7" s="181">
        <v>102</v>
      </c>
      <c r="I7" s="181">
        <v>117</v>
      </c>
      <c r="J7" s="181">
        <v>89</v>
      </c>
      <c r="K7" s="181">
        <v>86</v>
      </c>
      <c r="L7" s="181">
        <v>25</v>
      </c>
      <c r="M7" s="181">
        <v>55</v>
      </c>
      <c r="N7" s="182">
        <v>624</v>
      </c>
    </row>
    <row r="8" spans="2:14" ht="33">
      <c r="B8" s="346"/>
      <c r="C8" s="179" t="s">
        <v>313</v>
      </c>
      <c r="D8" s="180">
        <v>24</v>
      </c>
      <c r="E8" s="181">
        <v>8</v>
      </c>
      <c r="F8" s="181">
        <v>23</v>
      </c>
      <c r="G8" s="181">
        <v>19</v>
      </c>
      <c r="H8" s="181">
        <v>81</v>
      </c>
      <c r="I8" s="181">
        <v>46</v>
      </c>
      <c r="J8" s="181">
        <v>38</v>
      </c>
      <c r="K8" s="181">
        <v>38</v>
      </c>
      <c r="L8" s="181">
        <v>12</v>
      </c>
      <c r="M8" s="181">
        <v>19</v>
      </c>
      <c r="N8" s="182">
        <v>308</v>
      </c>
    </row>
    <row r="9" spans="2:14" ht="22">
      <c r="B9" s="346"/>
      <c r="C9" s="179" t="s">
        <v>314</v>
      </c>
      <c r="D9" s="180">
        <v>3</v>
      </c>
      <c r="E9" s="181">
        <v>4</v>
      </c>
      <c r="F9" s="181">
        <v>0</v>
      </c>
      <c r="G9" s="181">
        <v>2</v>
      </c>
      <c r="H9" s="181">
        <v>4</v>
      </c>
      <c r="I9" s="181">
        <v>7</v>
      </c>
      <c r="J9" s="181">
        <v>5</v>
      </c>
      <c r="K9" s="181">
        <v>4</v>
      </c>
      <c r="L9" s="181">
        <v>2</v>
      </c>
      <c r="M9" s="181">
        <v>5</v>
      </c>
      <c r="N9" s="182">
        <v>36</v>
      </c>
    </row>
    <row r="10" spans="2:14" ht="22">
      <c r="B10" s="346"/>
      <c r="C10" s="179" t="s">
        <v>315</v>
      </c>
      <c r="D10" s="180">
        <v>0</v>
      </c>
      <c r="E10" s="181">
        <v>0</v>
      </c>
      <c r="F10" s="181">
        <v>0</v>
      </c>
      <c r="G10" s="181">
        <v>0</v>
      </c>
      <c r="H10" s="181">
        <v>0</v>
      </c>
      <c r="I10" s="181">
        <v>4</v>
      </c>
      <c r="J10" s="181">
        <v>1</v>
      </c>
      <c r="K10" s="181">
        <v>2</v>
      </c>
      <c r="L10" s="181">
        <v>0</v>
      </c>
      <c r="M10" s="181">
        <v>1</v>
      </c>
      <c r="N10" s="182">
        <v>8</v>
      </c>
    </row>
    <row r="11" spans="2:14" ht="15" thickBot="1">
      <c r="B11" s="334" t="s">
        <v>117</v>
      </c>
      <c r="C11" s="335"/>
      <c r="D11" s="183">
        <v>69</v>
      </c>
      <c r="E11" s="184">
        <v>49</v>
      </c>
      <c r="F11" s="184">
        <v>90</v>
      </c>
      <c r="G11" s="184">
        <v>75</v>
      </c>
      <c r="H11" s="184">
        <v>227</v>
      </c>
      <c r="I11" s="184">
        <v>203</v>
      </c>
      <c r="J11" s="184">
        <v>165</v>
      </c>
      <c r="K11" s="184">
        <v>163</v>
      </c>
      <c r="L11" s="184">
        <v>61</v>
      </c>
      <c r="M11" s="184">
        <v>116</v>
      </c>
      <c r="N11" s="185">
        <v>1218</v>
      </c>
    </row>
    <row r="15" spans="2:14" ht="15">
      <c r="B15" s="140"/>
      <c r="C15" s="140" t="s">
        <v>550</v>
      </c>
      <c r="D15" s="140" t="s">
        <v>332</v>
      </c>
      <c r="E15" s="140" t="s">
        <v>549</v>
      </c>
      <c r="G15">
        <f>SUM(D11:F11)*100/SUM(D11:M11)</f>
        <v>17.077175697865353</v>
      </c>
      <c r="H15">
        <f>SUM(G11:J11)*100/SUM(D11:M11)</f>
        <v>55.008210180623976</v>
      </c>
      <c r="I15">
        <f>SUM(K11:M11)*100/SUM(D11:M11)</f>
        <v>27.914614121510674</v>
      </c>
    </row>
    <row r="16" spans="2:14" ht="15">
      <c r="B16" s="140" t="s">
        <v>311</v>
      </c>
      <c r="C16" s="140">
        <v>26.764705882352942</v>
      </c>
      <c r="D16" s="140">
        <v>17.46268656716418</v>
      </c>
      <c r="E16" s="140">
        <v>16.346153846153847</v>
      </c>
      <c r="G16" s="12">
        <f>SUM(D6:F6)/SUM($D$11:$F$11)*100</f>
        <v>16.346153846153847</v>
      </c>
      <c r="H16" s="12">
        <f>SUM(G6:J6)*100/SUM($G$11:$J$11)</f>
        <v>17.46268656716418</v>
      </c>
      <c r="I16" s="12">
        <f>SUM(K6:M6)*100/SUM($K$11:$M$11)</f>
        <v>26.764705882352942</v>
      </c>
    </row>
    <row r="17" spans="2:9" ht="15">
      <c r="B17" s="140" t="s">
        <v>312</v>
      </c>
      <c r="C17" s="140">
        <v>48.823529411764703</v>
      </c>
      <c r="D17" s="140">
        <v>51.64179104477612</v>
      </c>
      <c r="E17" s="140">
        <v>53.846153846153847</v>
      </c>
      <c r="G17" s="12">
        <f>SUM(D7:F7)/SUM($D$11:$F$11)*100</f>
        <v>53.846153846153847</v>
      </c>
      <c r="H17" s="12">
        <f>SUM(G7:J7)*100/SUM($G$11:$J$11)</f>
        <v>51.64179104477612</v>
      </c>
      <c r="I17" s="12">
        <f>SUM(K7:M7)*100/SUM($K$11:$M$11)</f>
        <v>48.823529411764703</v>
      </c>
    </row>
    <row r="18" spans="2:9" ht="15">
      <c r="B18" s="140" t="s">
        <v>313</v>
      </c>
      <c r="C18" s="140">
        <v>20.294117647058822</v>
      </c>
      <c r="D18" s="140">
        <v>27.46268656716418</v>
      </c>
      <c r="E18" s="140">
        <v>26.442307692307693</v>
      </c>
      <c r="G18" s="12">
        <f>SUM(D8:F8)/SUM($D$11:$F$11)*100</f>
        <v>26.442307692307693</v>
      </c>
      <c r="H18" s="12">
        <f>SUM(G8:J8)*100/SUM($G$11:$J$11)</f>
        <v>27.46268656716418</v>
      </c>
      <c r="I18" s="12">
        <f>SUM(K8:M8)*100/SUM($K$11:$M$11)</f>
        <v>20.294117647058822</v>
      </c>
    </row>
    <row r="19" spans="2:9" ht="15">
      <c r="B19" s="140" t="s">
        <v>314</v>
      </c>
      <c r="C19" s="140">
        <v>3.2352941176470593</v>
      </c>
      <c r="D19" s="140">
        <v>2.6865671641791042</v>
      </c>
      <c r="E19" s="140">
        <v>3.3653846153846154</v>
      </c>
      <c r="G19" s="12">
        <f>SUM(D9:F9)/SUM($D$11:$F$11)*100</f>
        <v>3.3653846153846154</v>
      </c>
      <c r="H19" s="12">
        <f>SUM(G9:J9)*100/SUM($G$11:$J$11)</f>
        <v>2.6865671641791047</v>
      </c>
      <c r="I19" s="12">
        <f>SUM(K9:M9)*100/SUM($K$11:$M$11)</f>
        <v>3.2352941176470589</v>
      </c>
    </row>
    <row r="20" spans="2:9" ht="15">
      <c r="B20" s="140" t="s">
        <v>315</v>
      </c>
      <c r="C20" s="140">
        <v>0.88235294117647056</v>
      </c>
      <c r="D20" s="140">
        <v>0.74626865671641784</v>
      </c>
      <c r="E20" s="140">
        <v>0</v>
      </c>
      <c r="G20" s="12">
        <f>SUM(D10:F10)/SUM($D$11:$F$11)*100</f>
        <v>0</v>
      </c>
      <c r="H20" s="12">
        <f>SUM(G10:J10)*100/SUM($G$11:$J$11)</f>
        <v>0.74626865671641796</v>
      </c>
      <c r="I20" s="12">
        <f>SUM(K10:M10)*100/SUM($K$11:$M$11)</f>
        <v>0.88235294117647056</v>
      </c>
    </row>
    <row r="21" spans="2:9" ht="15">
      <c r="C21" s="140" t="s">
        <v>549</v>
      </c>
      <c r="E21" s="140" t="s">
        <v>550</v>
      </c>
    </row>
    <row r="22" spans="2:9" ht="15">
      <c r="C22" s="140">
        <v>26.764705882352942</v>
      </c>
      <c r="E22" s="140">
        <v>16.346153846153847</v>
      </c>
    </row>
    <row r="23" spans="2:9" ht="15">
      <c r="C23" s="140">
        <v>48.823529411764703</v>
      </c>
      <c r="E23" s="140">
        <v>53.846153846153847</v>
      </c>
    </row>
    <row r="24" spans="2:9" ht="15">
      <c r="C24" s="140">
        <v>20.294117647058822</v>
      </c>
      <c r="E24" s="140">
        <v>26.442307692307693</v>
      </c>
    </row>
    <row r="25" spans="2:9" ht="15">
      <c r="C25" s="140">
        <v>3.2352941176470593</v>
      </c>
      <c r="E25" s="140">
        <v>3.3653846153846154</v>
      </c>
    </row>
    <row r="26" spans="2:9" ht="15">
      <c r="C26" s="140">
        <v>0.88235294117647056</v>
      </c>
      <c r="E26" s="140">
        <v>0</v>
      </c>
    </row>
  </sheetData>
  <mergeCells count="6">
    <mergeCell ref="B11:C11"/>
    <mergeCell ref="B2:N2"/>
    <mergeCell ref="B4:C5"/>
    <mergeCell ref="D4:M4"/>
    <mergeCell ref="N4:N5"/>
    <mergeCell ref="B6:B10"/>
  </mergeCells>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16</vt:i4>
      </vt:variant>
    </vt:vector>
  </HeadingPairs>
  <TitlesOfParts>
    <vt:vector size="16" baseType="lpstr">
      <vt:lpstr>CERC</vt:lpstr>
      <vt:lpstr>CEP</vt:lpstr>
      <vt:lpstr>UDP</vt:lpstr>
      <vt:lpstr>TABLAS</vt:lpstr>
      <vt:lpstr>LAPOP1</vt:lpstr>
      <vt:lpstr>ACP lapop</vt:lpstr>
      <vt:lpstr>Alfa lapop</vt:lpstr>
      <vt:lpstr>Probabilidades</vt:lpstr>
      <vt:lpstr>UDP2</vt:lpstr>
      <vt:lpstr>ACP udp</vt:lpstr>
      <vt:lpstr>Alfa udp</vt:lpstr>
      <vt:lpstr>Probabilidades 2</vt:lpstr>
      <vt:lpstr>LAPOP2</vt:lpstr>
      <vt:lpstr>CEP2</vt:lpstr>
      <vt:lpstr>Probabilidades 3</vt:lpstr>
      <vt:lpstr>Residuos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dc:creator>
  <cp:lastModifiedBy>Benjamin Muñoz</cp:lastModifiedBy>
  <dcterms:created xsi:type="dcterms:W3CDTF">2014-07-04T11:37:01Z</dcterms:created>
  <dcterms:modified xsi:type="dcterms:W3CDTF">2015-04-30T02:49:30Z</dcterms:modified>
</cp:coreProperties>
</file>